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2943" windowHeight="9947" tabRatio="605" firstSheet="1" activeTab="10"/>
  </bookViews>
  <sheets>
    <sheet name="信息" sheetId="1" r:id="rId1"/>
    <sheet name="员工信息" sheetId="265" r:id="rId2"/>
    <sheet name="工程组成" sheetId="266" r:id="rId3"/>
    <sheet name="产品" sheetId="230" r:id="rId4"/>
    <sheet name="材料" sheetId="3" r:id="rId5"/>
    <sheet name="设备" sheetId="4" r:id="rId6"/>
    <sheet name="敏感点信息" sheetId="231" r:id="rId7"/>
    <sheet name="废气排放标准表" sheetId="339" r:id="rId8"/>
    <sheet name="附件" sheetId="263" r:id="rId9"/>
    <sheet name="废气信息" sheetId="234" r:id="rId10"/>
    <sheet name="固废信息" sheetId="235" r:id="rId11"/>
    <sheet name="废气信息库" sheetId="233" state="hidden" r:id="rId12"/>
    <sheet name="固废信息库" sheetId="236" state="hidden" r:id="rId13"/>
    <sheet name="废气排放标准库" sheetId="338" state="hidden" r:id="rId14"/>
    <sheet name="废气排放标准库2" sheetId="340" state="hidden" r:id="rId15"/>
    <sheet name="污水排放" sheetId="41" state="hidden" r:id="rId16"/>
    <sheet name="地表水环境" sheetId="5" state="hidden" r:id="rId17"/>
    <sheet name="地表水区域" sheetId="142" state="hidden" r:id="rId18"/>
    <sheet name="地表水现状结论" sheetId="357" state="hidden" r:id="rId19"/>
    <sheet name="污水厂二级选项辅助表" sheetId="356" state="hidden" r:id="rId20"/>
    <sheet name="地下水环境" sheetId="6" state="hidden" r:id="rId21"/>
    <sheet name="地下水区域" sheetId="116" state="hidden" r:id="rId22"/>
    <sheet name="声环境" sheetId="7" state="hidden" r:id="rId23"/>
    <sheet name="社会情况" sheetId="217" state="hidden" r:id="rId24"/>
    <sheet name="现状数据" sheetId="113" state="hidden" r:id="rId25"/>
    <sheet name="国民库" sheetId="354" state="hidden" r:id="rId26"/>
    <sheet name="评价名录" sheetId="355" state="hidden" r:id="rId27"/>
    <sheet name="评价名录附" sheetId="365" state="hidden" r:id="rId28"/>
    <sheet name="环评单位信息库" sheetId="366" state="hidden" r:id="rId29"/>
    <sheet name="工艺流程表" sheetId="210" state="hidden" r:id="rId30"/>
  </sheets>
  <definedNames>
    <definedName name="《表面涂装_汽车制造业_挥发性有机化合物排放标准_DB44_816_2010_》">废气排放标准库2!$F$2:$F$100</definedName>
    <definedName name="《大气污染物排放限值》_DB44_27_2001_">废气排放标准库2!$A$2:$A$100</definedName>
    <definedName name="《恶臭污染物排放标准》_GB14554_93_">废气排放标准库2!$E$2:$E$100</definedName>
    <definedName name="《锅炉大气污染物排放标准》_GB13271_2014_表2新建锅炉大气污染物排放浓度限值">废气排放标准库2!$G$2:$G$100</definedName>
    <definedName name="《合成树脂工业污染物排放标准》_GB31572_2015_">废气排放标准库2!$D$2:$D$100</definedName>
    <definedName name="《家具制造行业挥发性有机化合物排放标准》_DB44_814_2010_">废气排放标准库2!$C$2:$C$100</definedName>
    <definedName name="《印刷行业挥发性有机化合物排放标准》_DB44_815_2010_">废气排放标准库2!$B$2:$B$100</definedName>
    <definedName name="八、皮革、毛皮、羽毛及其制品和制鞋业">评价名录!$H$2:$H$100</definedName>
    <definedName name="北滘">污水厂二级选项辅助表!$A$2:$A$100</definedName>
    <definedName name="标准">废气排放标准库2!$1:$1</definedName>
    <definedName name="餐饮业">国民库!$AJ$2:$AJ$100</definedName>
    <definedName name="大良">污水厂二级选项辅助表!$B$2:$B$100</definedName>
    <definedName name="电力、热力生产和供应业">国民库!$AF$2:$AF$100</definedName>
    <definedName name="电气机械和器材制造业">国民库!$Z$2:$Z$100</definedName>
    <definedName name="二、农副食品加工业">评价名录!$B$2:$B$100</definedName>
    <definedName name="二十、黑色金属冶炼和压延加工业">评价名录!$S$2:$S$100</definedName>
    <definedName name="二十八、计算机、通信和其他电子设备制造业">评价名录!$Z$2:$Z$100</definedName>
    <definedName name="二十二、金属制品业">评价名录!$U$2:$U$100</definedName>
    <definedName name="二十九、仪器仪表制造业">评价名录!$AA$2:$AA$100</definedName>
    <definedName name="二十七、电气机械和器材制造业">评价名录!$Y$2:$Y$100</definedName>
    <definedName name="二十三、通用设备制造业">评价名录!$V$2:$V$100</definedName>
    <definedName name="二十四、专用设备制造业">评价名录!$W$2:$W$100</definedName>
    <definedName name="二十五、汽车制造业">评价名录!$X$2:$X$100</definedName>
    <definedName name="二十一、有色金属冶炼和压延加工业">评价名录!$T$2:$T$100</definedName>
    <definedName name="房地产业">国民库!$AK$2:$AK$100</definedName>
    <definedName name="纺织服装、服饰业">国民库!$F$2:$F$100</definedName>
    <definedName name="纺织业">国民库!$E$2:$E$100</definedName>
    <definedName name="非金属矿物制品业">国民库!$R$2:$R$100</definedName>
    <definedName name="废弃资源综合利用业">国民库!$AD$2:$AD$100</definedName>
    <definedName name="国民经济大类">国民库!$1:$1</definedName>
    <definedName name="黑色金属冶炼和压延加工业">国民库!$S$2:$S$100</definedName>
    <definedName name="化学纤维制造业">国民库!$P$2:$P$100</definedName>
    <definedName name="化学原料和化学制品制造业">国民库!$N$2:$N$100</definedName>
    <definedName name="机动车、电子产品和日用产品修理业">国民库!$AL$2:$AL$100</definedName>
    <definedName name="计算机、通信和其他电子设备制造业">国民库!$AA$2:$AA$100</definedName>
    <definedName name="家具制造业">国民库!$I$2:$I$100</definedName>
    <definedName name="金属制品、机械和设备修理业">国民库!$AE$2:$AE$100</definedName>
    <definedName name="金属制品业">国民库!$U$2:$U$100</definedName>
    <definedName name="九、木材加工和木、竹、藤、棕、草制品业">评价名录!$I$2:$I$100</definedName>
    <definedName name="酒、饮料及精制茶制造业">国民库!$C$2:$C$100</definedName>
    <definedName name="均安">污水厂二级选项辅助表!$C$2:$C$100</definedName>
    <definedName name="乐从">污水厂二级选项辅助表!$D$2:$D$100</definedName>
    <definedName name="勒流">污水厂二级选项辅助表!$E$2:$E$100</definedName>
    <definedName name="六、纺织业">评价名录!$F$2:$F$100</definedName>
    <definedName name="龙江">污水厂二级选项辅助表!$F$2:$F$100</definedName>
    <definedName name="伦教">污水厂二级选项辅助表!$G$2:$G$100</definedName>
    <definedName name="木材加工和木、竹、藤、棕、草制品业">国民库!$H$2:$H$100</definedName>
    <definedName name="农副食品加工业">国民库!$A$2:$A$100</definedName>
    <definedName name="皮革、毛皮、羽毛及其制品和制鞋业">国民库!$G$2:$G$100</definedName>
    <definedName name="评价大类">评价名录!$1:$1</definedName>
    <definedName name="七、纺织服装、服饰业">评价名录!$G$2:$G$100</definedName>
    <definedName name="其他制造业">国民库!$AC$2:$AC$100</definedName>
    <definedName name="汽车制造业">国民库!$X$2:$X$100</definedName>
    <definedName name="区镇">污水厂二级选项辅助表!$1:$1</definedName>
    <definedName name="燃气生产和供应业">国民库!$AG$2:$AG$100</definedName>
    <definedName name="容桂">污水厂二级选项辅助表!$H$2:$H$100</definedName>
    <definedName name="三、食品制造业">评价名录!$C$2:$C$100</definedName>
    <definedName name="三十、废弃资源综合利用业">评价名录!$AB$2:$AB$100</definedName>
    <definedName name="三十九、卫生">评价名录!$AG$2:$AG$100</definedName>
    <definedName name="三十六、房地产">评价名录!$AF$2:$AF$100</definedName>
    <definedName name="三十四、环境治理业">评价名录!$AD$2:$AD$100</definedName>
    <definedName name="三十五、公共设施管理业">评价名录!$AE$2:$AE$100</definedName>
    <definedName name="三十一、电力、热力生产和供应业">评价名录!$AC$2:$AC$100</definedName>
    <definedName name="十、家具制造业">评价名录!$J$2:$J$100</definedName>
    <definedName name="十八、橡胶和塑料制品业">评价名录!$Q$2:$Q$100</definedName>
    <definedName name="十二、印刷和记录媒介复制业">评价名录!$L$2:$L$100</definedName>
    <definedName name="十九、非金属矿物制品业">评价名录!$R$2:$R$100</definedName>
    <definedName name="十六、医药制造业">评价名录!$O$2:$O$100</definedName>
    <definedName name="十七、化学纤维制造业">评价名录!$P$2:$P$100</definedName>
    <definedName name="十三、文教、工美、体育和娱乐用品制造业">评价名录!$M$2:$M$100</definedName>
    <definedName name="十五、化学原料和化学制品制造业">评价名录!$N$2:$N$100</definedName>
    <definedName name="十一、造纸和纸制品业">评价名录!$K$2:$K$100</definedName>
    <definedName name="石油加工、炼焦和核燃料加工业">国民库!$M$2:$M$100</definedName>
    <definedName name="食品制造业">国民库!$B$2:$B$100</definedName>
    <definedName name="水的生产和供应业">国民库!$AH$2:$AH$100</definedName>
    <definedName name="四、酒、饮料制造业">评价名录!$D$2:$D$100</definedName>
    <definedName name="四十、社会事业与服务业">评价名录!$AH$2:$AH$100</definedName>
    <definedName name="铁路、船舶、航空航天和其他运输设备制_造业">国民库!$Y$2:$Y$100</definedName>
    <definedName name="通用设备制造业">国民库!$V$2:$V$100</definedName>
    <definedName name="卫生">国民库!$AM$2:$AM$100</definedName>
    <definedName name="文教、工美、体育和娱乐用品制造业">国民库!$L$2:$L$100</definedName>
    <definedName name="五、烟草制造业">评价名录!$E$2:$E$100</definedName>
    <definedName name="橡胶和塑料制品业">国民库!$Q$2:$Q$100</definedName>
    <definedName name="杏坛">污水厂二级选项辅助表!$I$2:$I$100</definedName>
    <definedName name="烟草制造业">国民库!$D$2:$D$100</definedName>
    <definedName name="一、畜牧业">评价名录!$A$2:$A$100</definedName>
    <definedName name="医药制造业">国民库!$O$2:$O$100</definedName>
    <definedName name="仪器仪表制造业">国民库!$AB$2:$AB$100</definedName>
    <definedName name="印刷和记录媒介复制业">国民库!$K$2:$K$100</definedName>
    <definedName name="有色金属冶炼和压延加工业">国民库!$T$2:$T$100</definedName>
    <definedName name="娱乐业">国民库!$AN$2:$AN$100</definedName>
    <definedName name="造纸和纸制品业">国民库!$J$2:$J$100</definedName>
    <definedName name="专用设备制造业">国民库!$W$2:$W$100</definedName>
    <definedName name="装卸搬运和仓储业">国民库!$AI$2:$AI$100</definedName>
  </definedNames>
  <calcPr calcId="144525"/>
</workbook>
</file>

<file path=xl/sharedStrings.xml><?xml version="1.0" encoding="utf-8"?>
<sst xmlns="http://schemas.openxmlformats.org/spreadsheetml/2006/main" count="1094">
  <si>
    <t>国民经济行业类别及代码</t>
  </si>
  <si>
    <t>5920 通用仓储</t>
  </si>
  <si>
    <t>大类选择</t>
  </si>
  <si>
    <t>装卸搬运和仓储业</t>
  </si>
  <si>
    <t>制表清单</t>
  </si>
  <si>
    <r>
      <rPr>
        <sz val="10.5"/>
        <color indexed="8"/>
        <rFont val="宋体"/>
        <charset val="134"/>
      </rPr>
      <t>名称缩写</t>
    </r>
  </si>
  <si>
    <t>坚强</t>
  </si>
  <si>
    <t>No.</t>
  </si>
  <si>
    <t>Item</t>
  </si>
  <si>
    <t>备注</t>
  </si>
  <si>
    <r>
      <rPr>
        <sz val="10.5"/>
        <color indexed="8"/>
        <rFont val="宋体"/>
        <charset val="134"/>
      </rPr>
      <t>项目名称（与营业执照一致）</t>
    </r>
  </si>
  <si>
    <t>佛山市顺德区坚强印刷有限公司</t>
  </si>
  <si>
    <t>评估报告</t>
  </si>
  <si>
    <t>X</t>
  </si>
  <si>
    <t>环评单位</t>
  </si>
  <si>
    <t>广东森海环保顾问股份有限公司</t>
  </si>
  <si>
    <t>平面布置图</t>
  </si>
  <si>
    <t>法人代表身份证</t>
  </si>
  <si>
    <t>440623196503153612</t>
  </si>
  <si>
    <t>工艺流程图</t>
  </si>
  <si>
    <r>
      <rPr>
        <sz val="10.5"/>
        <color indexed="8"/>
        <rFont val="宋体"/>
        <charset val="134"/>
      </rPr>
      <t>法人代表</t>
    </r>
  </si>
  <si>
    <t>叶永坚</t>
  </si>
  <si>
    <r>
      <rPr>
        <sz val="10.5"/>
        <color theme="0"/>
        <rFont val="等线"/>
        <charset val="134"/>
      </rPr>
      <t>废弃污染物描述</t>
    </r>
    <r>
      <rPr>
        <sz val="10.5"/>
        <color theme="0"/>
        <rFont val="等线"/>
        <charset val="134"/>
      </rPr>
      <t>-范例</t>
    </r>
  </si>
  <si>
    <t>联系人</t>
  </si>
  <si>
    <t>报告表附件</t>
  </si>
  <si>
    <r>
      <rPr>
        <sz val="10.5"/>
        <color indexed="8"/>
        <rFont val="宋体"/>
        <charset val="134"/>
      </rPr>
      <t>联系电话</t>
    </r>
  </si>
  <si>
    <t>备案附件</t>
  </si>
  <si>
    <r>
      <rPr>
        <sz val="10.5"/>
        <color indexed="8"/>
        <rFont val="宋体"/>
        <charset val="134"/>
      </rPr>
      <t>邮政编码</t>
    </r>
  </si>
  <si>
    <t>卫星图信息 kml/kmz</t>
  </si>
  <si>
    <t>✓</t>
  </si>
  <si>
    <t>地址(对照营业执照)</t>
  </si>
  <si>
    <t>佛山市顺德区勒流街道勒北工业大道26号</t>
  </si>
  <si>
    <t>操作步骤</t>
  </si>
  <si>
    <t>项目总投资（万元）(与营业执照一致)</t>
  </si>
  <si>
    <t>①先选大类(D1、D51）</t>
  </si>
  <si>
    <t>环保投资（万元）(比例约10-15%)</t>
  </si>
  <si>
    <t>②再选二类(B1、B51）</t>
  </si>
  <si>
    <r>
      <rPr>
        <sz val="10.5"/>
        <color indexed="8"/>
        <rFont val="宋体"/>
        <charset val="134"/>
      </rPr>
      <t>环保投资所占比例（</t>
    </r>
    <r>
      <rPr>
        <sz val="10.5"/>
        <color indexed="8"/>
        <rFont val="Times New Roman"/>
        <charset val="134"/>
      </rPr>
      <t>%</t>
    </r>
    <r>
      <rPr>
        <sz val="10.5"/>
        <color indexed="8"/>
        <rFont val="宋体"/>
        <charset val="134"/>
      </rPr>
      <t>）</t>
    </r>
  </si>
  <si>
    <r>
      <rPr>
        <sz val="10.5"/>
        <color indexed="8"/>
        <rFont val="宋体"/>
        <charset val="134"/>
      </rPr>
      <t>占地面积（</t>
    </r>
    <r>
      <rPr>
        <sz val="10.5"/>
        <color indexed="8"/>
        <rFont val="Times New Roman"/>
        <charset val="134"/>
      </rPr>
      <t>m</t>
    </r>
    <r>
      <rPr>
        <vertAlign val="superscript"/>
        <sz val="10.5"/>
        <color indexed="8"/>
        <rFont val="Times New Roman"/>
        <charset val="134"/>
      </rPr>
      <t>2</t>
    </r>
    <r>
      <rPr>
        <sz val="10.5"/>
        <color indexed="8"/>
        <rFont val="宋体"/>
        <charset val="134"/>
      </rPr>
      <t>）(与经营场所使用证明或房产证明一致）</t>
    </r>
  </si>
  <si>
    <r>
      <rPr>
        <sz val="10.5"/>
        <color indexed="8"/>
        <rFont val="宋体"/>
        <charset val="134"/>
      </rPr>
      <t>经营面积（</t>
    </r>
    <r>
      <rPr>
        <sz val="10.5"/>
        <color indexed="8"/>
        <rFont val="Times New Roman"/>
        <charset val="134"/>
      </rPr>
      <t>m</t>
    </r>
    <r>
      <rPr>
        <vertAlign val="superscript"/>
        <sz val="10.5"/>
        <color indexed="8"/>
        <rFont val="Times New Roman"/>
        <charset val="134"/>
      </rPr>
      <t>2</t>
    </r>
    <r>
      <rPr>
        <sz val="10.5"/>
        <color indexed="8"/>
        <rFont val="宋体"/>
        <charset val="134"/>
      </rPr>
      <t>）(多层建筑要乘层数)</t>
    </r>
  </si>
  <si>
    <t>选择参考工艺图</t>
  </si>
  <si>
    <t>编号</t>
  </si>
  <si>
    <r>
      <rPr>
        <sz val="10.5"/>
        <color theme="1"/>
        <rFont val="宋体"/>
        <charset val="134"/>
      </rPr>
      <t>职工不住宿人数</t>
    </r>
    <r>
      <rPr>
        <sz val="10.5"/>
        <color theme="1"/>
        <rFont val="Times New Roman"/>
        <charset val="134"/>
      </rPr>
      <t>(</t>
    </r>
    <r>
      <rPr>
        <sz val="10.5"/>
        <color theme="1"/>
        <rFont val="宋体"/>
        <charset val="134"/>
      </rPr>
      <t>人</t>
    </r>
    <r>
      <rPr>
        <sz val="10.5"/>
        <color theme="1"/>
        <rFont val="Times New Roman"/>
        <charset val="134"/>
      </rPr>
      <t>)</t>
    </r>
  </si>
  <si>
    <t>五金加工</t>
  </si>
  <si>
    <t>职工住宿人数(人)</t>
  </si>
  <si>
    <t>职工总人数(人)</t>
  </si>
  <si>
    <r>
      <rPr>
        <sz val="10.5"/>
        <color theme="1"/>
        <rFont val="宋体"/>
        <charset val="134"/>
      </rPr>
      <t>日工作时间</t>
    </r>
    <r>
      <rPr>
        <sz val="10.5"/>
        <color theme="1"/>
        <rFont val="Times New Roman"/>
        <charset val="134"/>
      </rPr>
      <t>(h)</t>
    </r>
  </si>
  <si>
    <r>
      <rPr>
        <sz val="10.5"/>
        <color theme="1"/>
        <rFont val="宋体"/>
        <charset val="134"/>
      </rPr>
      <t>年工作时间</t>
    </r>
    <r>
      <rPr>
        <sz val="10.5"/>
        <color theme="1"/>
        <rFont val="Times New Roman"/>
        <charset val="134"/>
      </rPr>
      <t>(d)</t>
    </r>
  </si>
  <si>
    <t>投产时间(一般以接单时间往后推半年计算，多以年计算)</t>
  </si>
  <si>
    <t>2018年</t>
  </si>
  <si>
    <t xml:space="preserve">相同色的单元格有关联       </t>
  </si>
  <si>
    <t>粗线框的单元格有下拉菜单</t>
  </si>
  <si>
    <t>虚线框的单元格为公式</t>
  </si>
  <si>
    <t>9 前往附件工作表，选取需要的附件进行输出</t>
  </si>
  <si>
    <t>能源使用情况</t>
  </si>
  <si>
    <t>天然气</t>
  </si>
  <si>
    <t>建设规模</t>
  </si>
  <si>
    <t>年产PVC面贴产品1.5吨</t>
  </si>
  <si>
    <t xml:space="preserve">生成三表后自动填入此项       </t>
  </si>
  <si>
    <t>噪声污染源设备(清单中数量最多的2-3种设备)</t>
  </si>
  <si>
    <t>冲床、打孔机等</t>
  </si>
  <si>
    <t xml:space="preserve">生成三同时表后自动填入此项       </t>
  </si>
  <si>
    <t>噪声监测点数目</t>
  </si>
  <si>
    <t>包装袋年产生量(t/a)(固体废物)</t>
  </si>
  <si>
    <t>电年耗量(万kWh/a)</t>
  </si>
  <si>
    <r>
      <rPr>
        <sz val="10.5"/>
        <color indexed="8"/>
        <rFont val="宋体"/>
        <charset val="134"/>
      </rPr>
      <t>纬度</t>
    </r>
  </si>
  <si>
    <t xml:space="preserve">22.864213º </t>
  </si>
  <si>
    <r>
      <rPr>
        <sz val="10.5"/>
        <color indexed="8"/>
        <rFont val="宋体"/>
        <charset val="134"/>
      </rPr>
      <t>经度</t>
    </r>
  </si>
  <si>
    <t xml:space="preserve">113.101680º </t>
  </si>
  <si>
    <r>
      <rPr>
        <sz val="10.5"/>
        <color indexed="8"/>
        <rFont val="宋体"/>
        <charset val="134"/>
      </rPr>
      <t>东</t>
    </r>
  </si>
  <si>
    <t>道路</t>
  </si>
  <si>
    <r>
      <rPr>
        <sz val="10.5"/>
        <color indexed="8"/>
        <rFont val="宋体"/>
        <charset val="134"/>
      </rPr>
      <t>南</t>
    </r>
  </si>
  <si>
    <t>工业厂房</t>
  </si>
  <si>
    <t>·</t>
  </si>
  <si>
    <r>
      <rPr>
        <sz val="10.5"/>
        <color indexed="8"/>
        <rFont val="宋体"/>
        <charset val="134"/>
      </rPr>
      <t>西</t>
    </r>
  </si>
  <si>
    <r>
      <rPr>
        <sz val="10.5"/>
        <color indexed="8"/>
        <rFont val="宋体"/>
        <charset val="134"/>
      </rPr>
      <t>北</t>
    </r>
  </si>
  <si>
    <t>所在区镇</t>
  </si>
  <si>
    <t>容桂</t>
  </si>
  <si>
    <r>
      <rPr>
        <sz val="10.5"/>
        <color theme="1"/>
        <rFont val="宋体"/>
        <charset val="134"/>
      </rPr>
      <t>声环境质量标准</t>
    </r>
  </si>
  <si>
    <t>2类</t>
  </si>
  <si>
    <t>地下水区域</t>
  </si>
  <si>
    <t>珠江三角洲佛山南海应急水源区</t>
  </si>
  <si>
    <t>地下水类型</t>
  </si>
  <si>
    <r>
      <rPr>
        <sz val="10.5"/>
        <color theme="1"/>
        <rFont val="宋体"/>
        <charset val="134"/>
      </rPr>
      <t>地下水质量标准</t>
    </r>
  </si>
  <si>
    <t>地下水水体编号</t>
  </si>
  <si>
    <t>污水厂二级选项</t>
  </si>
  <si>
    <t>一污</t>
  </si>
  <si>
    <t>备注：大良-逢沙、大门；容桂-一污、二污</t>
  </si>
  <si>
    <t>如不入污水厂，该项应选"无"</t>
  </si>
  <si>
    <r>
      <rPr>
        <sz val="10.5"/>
        <color theme="1"/>
        <rFont val="宋体"/>
        <charset val="134"/>
      </rPr>
      <t>是否污水处理厂纳污范围</t>
    </r>
  </si>
  <si>
    <t>是</t>
  </si>
  <si>
    <r>
      <rPr>
        <sz val="10.5"/>
        <color theme="1"/>
        <rFont val="宋体"/>
        <charset val="134"/>
      </rPr>
      <t>生活污水去向</t>
    </r>
  </si>
  <si>
    <r>
      <rPr>
        <sz val="10.5"/>
        <color theme="1"/>
        <rFont val="宋体"/>
        <charset val="134"/>
      </rPr>
      <t>生活污水环境影响分析</t>
    </r>
  </si>
  <si>
    <r>
      <rPr>
        <sz val="10.5"/>
        <color theme="1"/>
        <rFont val="宋体"/>
        <charset val="134"/>
      </rPr>
      <t>纳污水体</t>
    </r>
  </si>
  <si>
    <r>
      <rPr>
        <sz val="10.5"/>
        <color theme="1"/>
        <rFont val="宋体"/>
        <charset val="134"/>
      </rPr>
      <t>地表水质量标准</t>
    </r>
  </si>
  <si>
    <t>地表水功能</t>
  </si>
  <si>
    <t>项目性质</t>
  </si>
  <si>
    <t>新建</t>
  </si>
  <si>
    <t>生活污水排放标准</t>
  </si>
  <si>
    <t>敏感点距离</t>
  </si>
  <si>
    <t>＞100</t>
  </si>
  <si>
    <t>水源保护区距离</t>
  </si>
  <si>
    <t>≤500</t>
  </si>
  <si>
    <t>环境影响评价二级行业类别</t>
  </si>
  <si>
    <t>3 植物油加工</t>
  </si>
  <si>
    <t>一级行业类别</t>
  </si>
  <si>
    <t>二、农副食品加工业</t>
  </si>
  <si>
    <t>三级行业类别</t>
  </si>
  <si>
    <t>项目规模</t>
  </si>
  <si>
    <t>测试2</t>
  </si>
  <si>
    <t>统一社会信用代码</t>
  </si>
  <si>
    <t>测试3</t>
  </si>
  <si>
    <t>营业执照经营范围</t>
  </si>
  <si>
    <t>测试4</t>
  </si>
  <si>
    <t>环评单位证书编号</t>
  </si>
  <si>
    <t>环评单位联系电话</t>
  </si>
  <si>
    <t>环评单位联系地址</t>
  </si>
  <si>
    <t>员工不住宿人数 </t>
  </si>
  <si>
    <t>员工住宿人数</t>
  </si>
  <si>
    <t>员工饭堂吃饭人数</t>
  </si>
  <si>
    <t>需填写该项</t>
  </si>
  <si>
    <t>员工总人数</t>
  </si>
  <si>
    <t>宿舍</t>
  </si>
  <si>
    <r>
      <rPr>
        <sz val="10.5"/>
        <color rgb="FF538135"/>
        <rFont val="宋体"/>
        <charset val="134"/>
      </rPr>
      <t>饭堂</t>
    </r>
    <r>
      <rPr>
        <sz val="10.5"/>
        <color theme="1"/>
        <rFont val="宋体"/>
        <charset val="134"/>
      </rPr>
      <t> </t>
    </r>
  </si>
  <si>
    <t>饭堂描述</t>
  </si>
  <si>
    <t>员工人数描述</t>
  </si>
  <si>
    <t>辅助项1</t>
  </si>
  <si>
    <t>辅助项2</t>
  </si>
  <si>
    <t>辅助项3</t>
  </si>
  <si>
    <t>辅助项4</t>
  </si>
  <si>
    <t>辅助项5</t>
  </si>
  <si>
    <t>项目</t>
  </si>
  <si>
    <t>内容</t>
  </si>
  <si>
    <t>用途</t>
  </si>
  <si>
    <t>参考内容</t>
  </si>
  <si>
    <t>主体工程</t>
  </si>
  <si>
    <t>生产车间，位于所在厂房二层，面积为265平方米</t>
  </si>
  <si>
    <t>贮运工程</t>
  </si>
  <si>
    <t>仓库，位于所在厂房二层西北侧，面积为48平方米</t>
  </si>
  <si>
    <t>辅助工程</t>
  </si>
  <si>
    <t>办公室，位于所在厂房三层西北侧，面积为48平方米</t>
  </si>
  <si>
    <t>公用工程</t>
  </si>
  <si>
    <t>市政供电、市政供水，排水为雨污分流，雨水经雨水管道排入市政下水道，生活污水经独立生活污水处理设施处理后排入内河涌</t>
  </si>
  <si>
    <t>环保工程</t>
  </si>
  <si>
    <t>有机废气经集气罩收集后15米排气筒高空排放</t>
  </si>
  <si>
    <t>产品名称</t>
  </si>
  <si>
    <t>单位</t>
  </si>
  <si>
    <t>数量</t>
  </si>
  <si>
    <t>辅助项</t>
  </si>
  <si>
    <t>PVC面贴</t>
  </si>
  <si>
    <t>吨/年</t>
  </si>
  <si>
    <t>吨</t>
  </si>
  <si>
    <t>材料名称</t>
  </si>
  <si>
    <t>是否边角料</t>
  </si>
  <si>
    <t>材料状态</t>
  </si>
  <si>
    <t>边角料系数</t>
  </si>
  <si>
    <t>PVC板</t>
  </si>
  <si>
    <t>液体</t>
  </si>
  <si>
    <t>油性油墨</t>
  </si>
  <si>
    <t>否</t>
  </si>
  <si>
    <t>双面胶</t>
  </si>
  <si>
    <t>卷/年</t>
  </si>
  <si>
    <t>固体</t>
  </si>
  <si>
    <t>稀释剂</t>
  </si>
  <si>
    <t>设备名称</t>
  </si>
  <si>
    <t>设备数量</t>
  </si>
  <si>
    <t>过光机</t>
  </si>
  <si>
    <t>台</t>
  </si>
  <si>
    <t>打孔机</t>
  </si>
  <si>
    <t>电热烘干炉</t>
  </si>
  <si>
    <t>切板机</t>
  </si>
  <si>
    <t>激光机</t>
  </si>
  <si>
    <t>冲床</t>
  </si>
  <si>
    <t>空压机</t>
  </si>
  <si>
    <t>半自动印刷机</t>
  </si>
  <si>
    <t>印刷台</t>
  </si>
  <si>
    <t>张</t>
  </si>
  <si>
    <t>环境要素</t>
  </si>
  <si>
    <t>环境敏感点</t>
  </si>
  <si>
    <t>方位</t>
  </si>
  <si>
    <r>
      <rPr>
        <b/>
        <sz val="10.5"/>
        <color theme="1"/>
        <rFont val="宋体"/>
        <charset val="134"/>
      </rPr>
      <t>距离（</t>
    </r>
    <r>
      <rPr>
        <b/>
        <sz val="10.5"/>
        <color theme="1"/>
        <rFont val="Times New Roman"/>
        <charset val="134"/>
      </rPr>
      <t>m</t>
    </r>
    <r>
      <rPr>
        <b/>
        <sz val="10.5"/>
        <color theme="1"/>
        <rFont val="宋体"/>
        <charset val="134"/>
      </rPr>
      <t>）</t>
    </r>
  </si>
  <si>
    <t>环境保护目标</t>
  </si>
  <si>
    <t>水环境</t>
  </si>
  <si>
    <t>勒北环村涌</t>
  </si>
  <si>
    <t>东南</t>
  </si>
  <si>
    <t>B3填入附近的河涌名称</t>
  </si>
  <si>
    <t>大气环境</t>
  </si>
  <si>
    <t>---</t>
  </si>
  <si>
    <t>----</t>
  </si>
  <si>
    <r>
      <rPr>
        <sz val="10.5"/>
        <color theme="1"/>
        <rFont val="宋体"/>
        <charset val="134"/>
      </rPr>
      <t>《环境空气质量标准》（</t>
    </r>
    <r>
      <rPr>
        <sz val="10.5"/>
        <color theme="1"/>
        <rFont val="Times New Roman"/>
        <charset val="134"/>
      </rPr>
      <t>GB3095-2012</t>
    </r>
    <r>
      <rPr>
        <sz val="10.5"/>
        <color theme="1"/>
        <rFont val="宋体"/>
        <charset val="134"/>
      </rPr>
      <t>）二级标准；</t>
    </r>
  </si>
  <si>
    <t>声环境</t>
  </si>
  <si>
    <t>槎涌村居民</t>
  </si>
  <si>
    <r>
      <rPr>
        <sz val="10.5"/>
        <color theme="1"/>
        <rFont val="宋体"/>
        <charset val="134"/>
      </rPr>
      <t>环境空气二级标准，声环境</t>
    </r>
    <r>
      <rPr>
        <sz val="10.5"/>
        <color theme="1"/>
        <rFont val="Times New Roman"/>
        <charset val="134"/>
      </rPr>
      <t>2</t>
    </r>
    <r>
      <rPr>
        <sz val="10.5"/>
        <color theme="1"/>
        <rFont val="宋体"/>
        <charset val="134"/>
      </rPr>
      <t>类标准</t>
    </r>
  </si>
  <si>
    <t>B7填入民居名称，500米范围内</t>
  </si>
  <si>
    <t>B9填入水源保护区名称，500米范围内</t>
  </si>
  <si>
    <t>生态环境</t>
  </si>
  <si>
    <t>非生态控制区</t>
  </si>
  <si>
    <t>污染物</t>
  </si>
  <si>
    <r>
      <rPr>
        <sz val="10.5"/>
        <rFont val="宋体"/>
        <charset val="134"/>
      </rPr>
      <t>最高允许排放浓度（</t>
    </r>
    <r>
      <rPr>
        <sz val="10.5"/>
        <rFont val="Times New Roman"/>
        <charset val="134"/>
      </rPr>
      <t>mg/m</t>
    </r>
    <r>
      <rPr>
        <vertAlign val="superscript"/>
        <sz val="10.5"/>
        <rFont val="Times New Roman"/>
        <charset val="134"/>
      </rPr>
      <t>3</t>
    </r>
    <r>
      <rPr>
        <sz val="10.5"/>
        <rFont val="宋体"/>
        <charset val="134"/>
      </rPr>
      <t>）</t>
    </r>
  </si>
  <si>
    <r>
      <rPr>
        <sz val="10.5"/>
        <rFont val="宋体"/>
        <charset val="134"/>
      </rPr>
      <t>最高允许排放速率（</t>
    </r>
    <r>
      <rPr>
        <sz val="10.5"/>
        <rFont val="Times New Roman"/>
        <charset val="134"/>
      </rPr>
      <t>kg/h</t>
    </r>
    <r>
      <rPr>
        <sz val="10.5"/>
        <rFont val="宋体"/>
        <charset val="134"/>
      </rPr>
      <t>）</t>
    </r>
  </si>
  <si>
    <r>
      <rPr>
        <sz val="10.5"/>
        <rFont val="宋体"/>
        <charset val="134"/>
      </rPr>
      <t>无组织排放监控点浓度限值（</t>
    </r>
    <r>
      <rPr>
        <sz val="10.5"/>
        <rFont val="Times New Roman"/>
        <charset val="134"/>
      </rPr>
      <t>mg/m</t>
    </r>
    <r>
      <rPr>
        <vertAlign val="superscript"/>
        <sz val="10.5"/>
        <rFont val="Times New Roman"/>
        <charset val="134"/>
      </rPr>
      <t>3</t>
    </r>
    <r>
      <rPr>
        <sz val="10.5"/>
        <rFont val="宋体"/>
        <charset val="134"/>
      </rPr>
      <t>）</t>
    </r>
  </si>
  <si>
    <t>标准</t>
  </si>
  <si>
    <t>备注：先选择标准，再选择污染物</t>
  </si>
  <si>
    <t>VOCs</t>
  </si>
  <si>
    <t>《印刷行业挥发性有机化合物排放标准》(DB44/815-2010)</t>
  </si>
  <si>
    <t>报告表合同</t>
  </si>
  <si>
    <t>有</t>
  </si>
  <si>
    <t>附件总数</t>
  </si>
  <si>
    <t>报告表委托函</t>
  </si>
  <si>
    <t>选中附件总数</t>
  </si>
  <si>
    <t>法定代表人身份证明书</t>
  </si>
  <si>
    <t>授权委托书有限公司</t>
  </si>
  <si>
    <t>选择附件包</t>
  </si>
  <si>
    <t>顺德区建设项目环境影响评价文件审批申请书</t>
  </si>
  <si>
    <t>长沙振华环境保护开发有限公司</t>
  </si>
  <si>
    <t>联系电话</t>
  </si>
  <si>
    <t>同意公示声明</t>
  </si>
  <si>
    <r>
      <rPr>
        <sz val="9"/>
        <color rgb="FF000000"/>
        <rFont val="宋体"/>
        <charset val="134"/>
      </rPr>
      <t>湖南省长沙市雨花区井湾路</t>
    </r>
    <r>
      <rPr>
        <sz val="9"/>
        <color rgb="FF000000"/>
        <rFont val="Times New Roman"/>
        <charset val="134"/>
      </rPr>
      <t>4</t>
    </r>
    <r>
      <rPr>
        <sz val="9"/>
        <color rgb="FF000000"/>
        <rFont val="宋体"/>
        <charset val="134"/>
      </rPr>
      <t>号</t>
    </r>
    <r>
      <rPr>
        <sz val="9"/>
        <color rgb="FF000000"/>
        <rFont val="Times New Roman"/>
        <charset val="134"/>
      </rPr>
      <t>2</t>
    </r>
    <r>
      <rPr>
        <sz val="9"/>
        <color rgb="FF000000"/>
        <rFont val="宋体"/>
        <charset val="134"/>
      </rPr>
      <t>栋</t>
    </r>
    <r>
      <rPr>
        <sz val="9"/>
        <color rgb="FF000000"/>
        <rFont val="Times New Roman"/>
        <charset val="134"/>
      </rPr>
      <t>406</t>
    </r>
    <r>
      <rPr>
        <sz val="9"/>
        <color rgb="FF000000"/>
        <rFont val="宋体"/>
        <charset val="134"/>
      </rPr>
      <t>房</t>
    </r>
  </si>
  <si>
    <t>邮政编码</t>
  </si>
  <si>
    <t>报告表合同(阿南)</t>
  </si>
  <si>
    <t>无</t>
  </si>
  <si>
    <r>
      <rPr>
        <sz val="9"/>
        <color theme="1"/>
        <rFont val="宋体"/>
        <charset val="134"/>
      </rPr>
      <t>国环评证乙字第</t>
    </r>
    <r>
      <rPr>
        <sz val="9"/>
        <color theme="1"/>
        <rFont val="Times New Roman"/>
        <charset val="134"/>
      </rPr>
      <t>2734</t>
    </r>
    <r>
      <rPr>
        <sz val="9"/>
        <color theme="1"/>
        <rFont val="宋体"/>
        <charset val="134"/>
      </rPr>
      <t>号</t>
    </r>
  </si>
  <si>
    <t>评价经费</t>
  </si>
  <si>
    <r>
      <rPr>
        <sz val="9"/>
        <color theme="1"/>
        <rFont val="Times New Roman"/>
        <charset val="134"/>
      </rPr>
      <t>1.0</t>
    </r>
    <r>
      <rPr>
        <sz val="9"/>
        <color theme="1"/>
        <rFont val="宋体"/>
        <charset val="134"/>
      </rPr>
      <t>万元</t>
    </r>
  </si>
  <si>
    <t>责任声明(阿南)</t>
  </si>
  <si>
    <t>顺德区建设项目环境影响评价文件审批申请书(阿南)</t>
  </si>
  <si>
    <t>海南深鸿亚环保科技有限公司</t>
  </si>
  <si>
    <t>0898-88357658</t>
  </si>
  <si>
    <t>同意公示声明(阿南)</t>
  </si>
  <si>
    <t>海南省三亚市吉阳区河东路138号环建大厦（地质大厦）九楼</t>
  </si>
  <si>
    <t>资质证书缩印件页格式(阿南)</t>
  </si>
  <si>
    <t>国环评证乙字第3004号</t>
  </si>
  <si>
    <t>评价经费(万元)</t>
  </si>
  <si>
    <t> </t>
  </si>
  <si>
    <t>审批登记表(阿南)</t>
  </si>
  <si>
    <t>审批登记表A3(阿南)</t>
  </si>
  <si>
    <t>待填</t>
  </si>
  <si>
    <t>废气源总数</t>
  </si>
  <si>
    <t>原辅材料</t>
  </si>
  <si>
    <t>设备</t>
  </si>
  <si>
    <t>工序</t>
  </si>
  <si>
    <t>废气污染源名称</t>
  </si>
  <si>
    <t>地区</t>
  </si>
  <si>
    <t>排放标准</t>
  </si>
  <si>
    <t>产污系数</t>
  </si>
  <si>
    <t>处理措施(0不用处理）</t>
  </si>
  <si>
    <t>收集效率（0代表无组织排放）</t>
  </si>
  <si>
    <t>处理效率</t>
  </si>
  <si>
    <t>污染源描述</t>
  </si>
  <si>
    <t>污染源影响分析描述</t>
  </si>
  <si>
    <t>防治措施</t>
  </si>
  <si>
    <t>材料单位</t>
  </si>
  <si>
    <t>原材料</t>
  </si>
  <si>
    <t>纸板</t>
  </si>
  <si>
    <t>切角</t>
  </si>
  <si>
    <t>固废污染源名称</t>
  </si>
  <si>
    <t>产污系数（0代表没有系数）</t>
  </si>
  <si>
    <t>影响分析描述</t>
  </si>
  <si>
    <t>钢</t>
  </si>
  <si>
    <t>抛光</t>
  </si>
  <si>
    <t>边角料</t>
  </si>
  <si>
    <r>
      <rPr>
        <sz val="12"/>
        <color theme="1"/>
        <rFont val="宋体"/>
        <charset val="134"/>
      </rPr>
      <t>项目在生产过程中会产生一定量的次品、边角料，按原料的</t>
    </r>
    <r>
      <rPr>
        <sz val="12"/>
        <color rgb="FFFF0000"/>
        <rFont val="Times New Roman"/>
        <charset val="134"/>
      </rPr>
      <t>5%</t>
    </r>
    <r>
      <rPr>
        <sz val="12"/>
        <color rgb="FFFF0000"/>
        <rFont val="宋体"/>
        <charset val="134"/>
      </rPr>
      <t>核算</t>
    </r>
    <r>
      <rPr>
        <sz val="12"/>
        <color theme="1"/>
        <rFont val="宋体"/>
        <charset val="134"/>
      </rPr>
      <t>，不锈钢板用量为</t>
    </r>
    <r>
      <rPr>
        <sz val="12"/>
        <color rgb="FFFF0000"/>
        <rFont val="Times New Roman"/>
        <charset val="134"/>
      </rPr>
      <t>3000t/a</t>
    </r>
    <r>
      <rPr>
        <sz val="12"/>
        <color theme="1"/>
        <rFont val="宋体"/>
        <charset val="134"/>
      </rPr>
      <t>，则其产生量约</t>
    </r>
    <r>
      <rPr>
        <sz val="12"/>
        <color rgb="FFFF0000"/>
        <rFont val="Times New Roman"/>
        <charset val="134"/>
      </rPr>
      <t>150t/a</t>
    </r>
    <r>
      <rPr>
        <sz val="12"/>
        <color theme="1"/>
        <rFont val="宋体"/>
        <charset val="134"/>
      </rPr>
      <t>。</t>
    </r>
  </si>
  <si>
    <r>
      <rPr>
        <sz val="12"/>
        <color theme="1"/>
        <rFont val="宋体"/>
        <charset val="134"/>
      </rPr>
      <t>项目的边角料产生量为</t>
    </r>
    <r>
      <rPr>
        <sz val="12"/>
        <color rgb="FFFF0000"/>
        <rFont val="Times New Roman"/>
        <charset val="134"/>
      </rPr>
      <t>150t/a</t>
    </r>
    <r>
      <rPr>
        <sz val="12"/>
        <color theme="1"/>
        <rFont val="宋体"/>
        <charset val="134"/>
      </rPr>
      <t>，</t>
    </r>
    <r>
      <rPr>
        <sz val="12"/>
        <color theme="1"/>
        <rFont val="宋体"/>
        <charset val="134"/>
      </rPr>
      <t>收集后外卖废品回收商</t>
    </r>
  </si>
  <si>
    <t>定期卖给废品回收商</t>
  </si>
  <si>
    <t>CNC</t>
  </si>
  <si>
    <t>夹板</t>
  </si>
  <si>
    <t>锯</t>
  </si>
  <si>
    <t>布袋除尘回收粉尘</t>
  </si>
  <si>
    <r>
      <rPr>
        <sz val="12"/>
        <color theme="1"/>
        <rFont val="宋体"/>
        <charset val="134"/>
      </rPr>
      <t>项目生产过程中，对</t>
    </r>
    <r>
      <rPr>
        <sz val="12"/>
        <color rgb="FFFF0000"/>
        <rFont val="宋体"/>
        <charset val="134"/>
      </rPr>
      <t>抛光</t>
    </r>
    <r>
      <rPr>
        <sz val="12"/>
        <color theme="1"/>
        <rFont val="宋体"/>
        <charset val="134"/>
      </rPr>
      <t>产生的粉尘收集后通过布袋除尘器处理，根据上述大气污染源分析，项目除尘系统收集的粉尘约为</t>
    </r>
    <r>
      <rPr>
        <sz val="12"/>
        <color rgb="FFFF0000"/>
        <rFont val="Times New Roman"/>
        <charset val="134"/>
      </rPr>
      <t>13.4t/a</t>
    </r>
    <r>
      <rPr>
        <sz val="12"/>
        <color theme="1"/>
        <rFont val="宋体"/>
        <charset val="134"/>
      </rPr>
      <t>。</t>
    </r>
  </si>
  <si>
    <r>
      <rPr>
        <sz val="12"/>
        <color theme="1"/>
        <rFont val="宋体"/>
        <charset val="134"/>
      </rPr>
      <t>项目的布袋回收粉尘收集量为</t>
    </r>
    <r>
      <rPr>
        <sz val="12"/>
        <color rgb="FFFF0000"/>
        <rFont val="Times New Roman"/>
        <charset val="134"/>
      </rPr>
      <t>13.4t/a</t>
    </r>
    <r>
      <rPr>
        <sz val="12"/>
        <color theme="1"/>
        <rFont val="宋体"/>
        <charset val="134"/>
      </rPr>
      <t>，</t>
    </r>
    <r>
      <rPr>
        <sz val="12"/>
        <color theme="1"/>
        <rFont val="宋体"/>
        <charset val="134"/>
      </rPr>
      <t>收集后外卖废品回收商</t>
    </r>
  </si>
  <si>
    <t>木</t>
  </si>
  <si>
    <t>喷淋废渣</t>
  </si>
  <si>
    <r>
      <rPr>
        <sz val="12"/>
        <color theme="1"/>
        <rFont val="宋体"/>
        <charset val="134"/>
      </rPr>
      <t>项目生产过程中，对</t>
    </r>
    <r>
      <rPr>
        <sz val="12"/>
        <color rgb="FFFF0000"/>
        <rFont val="宋体"/>
        <charset val="134"/>
      </rPr>
      <t>抛光</t>
    </r>
    <r>
      <rPr>
        <sz val="12"/>
        <color theme="1"/>
        <rFont val="宋体"/>
        <charset val="134"/>
      </rPr>
      <t>产生的粉尘收集后通过水喷淋处理，经核算，项目喷淋废渣产生量约为</t>
    </r>
    <r>
      <rPr>
        <sz val="12"/>
        <color rgb="FFFF0000"/>
        <rFont val="Times New Roman"/>
        <charset val="134"/>
      </rPr>
      <t>13.4t/a</t>
    </r>
    <r>
      <rPr>
        <sz val="12"/>
        <color theme="1"/>
        <rFont val="宋体"/>
        <charset val="134"/>
      </rPr>
      <t>。</t>
    </r>
  </si>
  <si>
    <r>
      <rPr>
        <sz val="12"/>
        <color theme="1"/>
        <rFont val="宋体"/>
        <charset val="134"/>
      </rPr>
      <t>项目的喷淋废渣产生量为</t>
    </r>
    <r>
      <rPr>
        <sz val="12"/>
        <color rgb="FFFF0000"/>
        <rFont val="Times New Roman"/>
        <charset val="134"/>
      </rPr>
      <t>13.4t/a</t>
    </r>
    <r>
      <rPr>
        <sz val="12"/>
        <color theme="1"/>
        <rFont val="宋体"/>
        <charset val="134"/>
      </rPr>
      <t>，</t>
    </r>
    <r>
      <rPr>
        <sz val="12"/>
        <color theme="1"/>
        <rFont val="宋体"/>
        <charset val="134"/>
      </rPr>
      <t>收集后外卖废品回收商</t>
    </r>
  </si>
  <si>
    <r>
      <rPr>
        <sz val="12"/>
        <color theme="1"/>
        <rFont val="宋体"/>
        <charset val="134"/>
      </rPr>
      <t>项目生产过程中，对</t>
    </r>
    <r>
      <rPr>
        <sz val="12"/>
        <color rgb="FFFF0000"/>
        <rFont val="宋体"/>
        <charset val="134"/>
      </rPr>
      <t>木加工</t>
    </r>
    <r>
      <rPr>
        <sz val="12"/>
        <color theme="1"/>
        <rFont val="宋体"/>
        <charset val="134"/>
      </rPr>
      <t>产生的粉尘收集后通过布袋除尘器处理，根据上述大气污染源分析，项目除尘系统收集的粉尘约为</t>
    </r>
    <r>
      <rPr>
        <sz val="12"/>
        <color rgb="FFFF0000"/>
        <rFont val="Times New Roman"/>
        <charset val="134"/>
      </rPr>
      <t>13.4t/a</t>
    </r>
    <r>
      <rPr>
        <sz val="12"/>
        <color theme="1"/>
        <rFont val="宋体"/>
        <charset val="134"/>
      </rPr>
      <t>。</t>
    </r>
  </si>
  <si>
    <t>原辅材料关键词</t>
  </si>
  <si>
    <t>设备关键词</t>
  </si>
  <si>
    <r>
      <rPr>
        <sz val="10.5"/>
        <color theme="1"/>
        <rFont val="Times New Roman"/>
        <charset val="134"/>
      </rPr>
      <t>处理措施(0</t>
    </r>
    <r>
      <rPr>
        <sz val="10.5"/>
        <color theme="1"/>
        <rFont val="宋体"/>
        <charset val="134"/>
      </rPr>
      <t>不用处理）</t>
    </r>
  </si>
  <si>
    <r>
      <rPr>
        <sz val="10.5"/>
        <color theme="1"/>
        <rFont val="Times New Roman"/>
        <charset val="134"/>
      </rPr>
      <t>收集效率（0</t>
    </r>
    <r>
      <rPr>
        <sz val="10.5"/>
        <color theme="1"/>
        <rFont val="宋体"/>
        <charset val="134"/>
      </rPr>
      <t>代表无组织排放）</t>
    </r>
  </si>
  <si>
    <t>焊</t>
  </si>
  <si>
    <t>焊接</t>
  </si>
  <si>
    <t>焊接烟尘</t>
  </si>
  <si>
    <r>
      <rPr>
        <sz val="10.5"/>
        <rFont val="Times New Roman"/>
        <charset val="134"/>
      </rPr>
      <t>焊接颗粒物排放执行《大气污染物排放限值》（DB44/27-2001</t>
    </r>
    <r>
      <rPr>
        <sz val="10.5"/>
        <rFont val="宋体"/>
        <charset val="134"/>
      </rPr>
      <t>）中第二时段无组织排放监控浓度限值，即</t>
    </r>
    <r>
      <rPr>
        <sz val="10.5"/>
        <rFont val="Times New Roman"/>
        <charset val="134"/>
      </rPr>
      <t>1mg/m</t>
    </r>
    <r>
      <rPr>
        <vertAlign val="superscript"/>
        <sz val="10.5"/>
        <rFont val="Times New Roman"/>
        <charset val="134"/>
      </rPr>
      <t>3</t>
    </r>
    <r>
      <rPr>
        <sz val="10.5"/>
        <rFont val="宋体"/>
        <charset val="134"/>
      </rPr>
      <t>。</t>
    </r>
  </si>
  <si>
    <r>
      <rPr>
        <sz val="10.5"/>
        <rFont val="宋体"/>
        <charset val="134"/>
      </rPr>
      <t>焊条：</t>
    </r>
    <r>
      <rPr>
        <sz val="10.5"/>
        <rFont val="Times New Roman"/>
        <charset val="134"/>
      </rPr>
      <t xml:space="preserve">2~5g/kg
</t>
    </r>
    <r>
      <rPr>
        <sz val="10.5"/>
        <rFont val="宋体"/>
        <charset val="134"/>
      </rPr>
      <t>焊丝：</t>
    </r>
    <r>
      <rPr>
        <sz val="10.5"/>
        <rFont val="Times New Roman"/>
        <charset val="134"/>
      </rPr>
      <t>7kg/t</t>
    </r>
  </si>
  <si>
    <r>
      <rPr>
        <sz val="10.5"/>
        <rFont val="宋体"/>
        <charset val="134"/>
      </rPr>
      <t>焊接过程中会产生少量的焊接烟尘，焊接烟尘主要成分为</t>
    </r>
    <r>
      <rPr>
        <sz val="10.5"/>
        <rFont val="Times New Roman"/>
        <charset val="134"/>
      </rPr>
      <t>Fe</t>
    </r>
    <r>
      <rPr>
        <vertAlign val="subscript"/>
        <sz val="10.5"/>
        <rFont val="Times New Roman"/>
        <charset val="134"/>
      </rPr>
      <t>2</t>
    </r>
    <r>
      <rPr>
        <sz val="10.5"/>
        <rFont val="Times New Roman"/>
        <charset val="134"/>
      </rPr>
      <t>O</t>
    </r>
    <r>
      <rPr>
        <vertAlign val="subscript"/>
        <sz val="10.5"/>
        <rFont val="Times New Roman"/>
        <charset val="134"/>
      </rPr>
      <t>3</t>
    </r>
    <r>
      <rPr>
        <sz val="10.5"/>
        <rFont val="宋体"/>
        <charset val="134"/>
      </rPr>
      <t>、锰及其化合物等。项目使用二氧化碳焊机进行焊接，每天有效焊接时间为</t>
    </r>
    <r>
      <rPr>
        <sz val="10.5"/>
        <color rgb="FFFF0000"/>
        <rFont val="Times New Roman"/>
        <charset val="134"/>
      </rPr>
      <t>5</t>
    </r>
    <r>
      <rPr>
        <sz val="10.5"/>
        <rFont val="宋体"/>
        <charset val="134"/>
      </rPr>
      <t>小时，年使用焊丝</t>
    </r>
    <r>
      <rPr>
        <sz val="10.5"/>
        <color rgb="FFFF0000"/>
        <rFont val="Times New Roman"/>
        <charset val="134"/>
      </rPr>
      <t>0.1t</t>
    </r>
    <r>
      <rPr>
        <sz val="10.5"/>
        <rFont val="宋体"/>
        <charset val="134"/>
      </rPr>
      <t>，焊丝焊接烟尘产生系数为</t>
    </r>
    <r>
      <rPr>
        <sz val="10.5"/>
        <color rgb="FFFF0000"/>
        <rFont val="Times New Roman"/>
        <charset val="134"/>
      </rPr>
      <t>7kg/t</t>
    </r>
    <r>
      <rPr>
        <sz val="10.5"/>
        <rFont val="宋体"/>
        <charset val="134"/>
      </rPr>
      <t>，则项目产生的焊接烟尘量为</t>
    </r>
    <r>
      <rPr>
        <sz val="10.5"/>
        <color rgb="FFFF0000"/>
        <rFont val="Times New Roman"/>
        <charset val="134"/>
      </rPr>
      <t>0.7kg/a</t>
    </r>
    <r>
      <rPr>
        <sz val="10.5"/>
        <color rgb="FFFF0000"/>
        <rFont val="宋体"/>
        <charset val="134"/>
      </rPr>
      <t>（</t>
    </r>
    <r>
      <rPr>
        <sz val="10.5"/>
        <color rgb="FFFF0000"/>
        <rFont val="Times New Roman"/>
        <charset val="134"/>
      </rPr>
      <t>0.0005kg/h</t>
    </r>
    <r>
      <rPr>
        <sz val="10.5"/>
        <color rgb="FFFF0000"/>
        <rFont val="宋体"/>
        <charset val="134"/>
      </rPr>
      <t>）</t>
    </r>
    <r>
      <rPr>
        <sz val="10.5"/>
        <rFont val="宋体"/>
        <charset val="134"/>
      </rPr>
      <t>。低于广东省地方标准《大气污染物排放限值》（</t>
    </r>
    <r>
      <rPr>
        <sz val="10.5"/>
        <rFont val="Times New Roman"/>
        <charset val="134"/>
      </rPr>
      <t>DB44/27-2001</t>
    </r>
    <r>
      <rPr>
        <sz val="10.5"/>
        <rFont val="宋体"/>
        <charset val="134"/>
      </rPr>
      <t>）第二时段标准限值，周界外浓度最高点</t>
    </r>
    <r>
      <rPr>
        <sz val="10.5"/>
        <rFont val="Times New Roman"/>
        <charset val="134"/>
      </rPr>
      <t>≤1.0mg/m</t>
    </r>
    <r>
      <rPr>
        <vertAlign val="superscript"/>
        <sz val="10.5"/>
        <rFont val="Times New Roman"/>
        <charset val="134"/>
      </rPr>
      <t>3</t>
    </r>
    <r>
      <rPr>
        <sz val="10.5"/>
        <rFont val="宋体"/>
        <charset val="134"/>
      </rPr>
      <t>。</t>
    </r>
  </si>
  <si>
    <r>
      <rPr>
        <sz val="10.5"/>
        <rFont val="宋体"/>
        <charset val="134"/>
      </rPr>
      <t>项目采用</t>
    </r>
    <r>
      <rPr>
        <sz val="10.5"/>
        <color rgb="FFFF0000"/>
        <rFont val="宋体"/>
        <charset val="134"/>
      </rPr>
      <t>氩弧焊</t>
    </r>
    <r>
      <rPr>
        <sz val="10.5"/>
        <rFont val="宋体"/>
        <charset val="134"/>
      </rPr>
      <t>对钢管进行焊接。焊接时产生的烟尘包括一系列气体和以气溶胶态形式存在的金属微细颗粒、金属氧化物以及其它化学物质：它们来自母材、焊接材料或焊接冶金反应的生成物。焊接烟气中的烟尘是一种十分复杂的物质，已在烟尘中发现的元素多达</t>
    </r>
    <r>
      <rPr>
        <sz val="10.5"/>
        <rFont val="Times New Roman"/>
        <charset val="134"/>
      </rPr>
      <t>20</t>
    </r>
    <r>
      <rPr>
        <sz val="10.5"/>
        <rFont val="宋体"/>
        <charset val="134"/>
      </rPr>
      <t>种以上，其中含量最多的是</t>
    </r>
    <r>
      <rPr>
        <sz val="10.5"/>
        <rFont val="Times New Roman"/>
        <charset val="134"/>
      </rPr>
      <t>Fe</t>
    </r>
    <r>
      <rPr>
        <sz val="10.5"/>
        <rFont val="宋体"/>
        <charset val="134"/>
      </rPr>
      <t>、</t>
    </r>
    <r>
      <rPr>
        <sz val="10.5"/>
        <rFont val="Times New Roman"/>
        <charset val="134"/>
      </rPr>
      <t>Ca</t>
    </r>
    <r>
      <rPr>
        <sz val="10.5"/>
        <rFont val="宋体"/>
        <charset val="134"/>
      </rPr>
      <t>、</t>
    </r>
    <r>
      <rPr>
        <sz val="10.5"/>
        <rFont val="Times New Roman"/>
        <charset val="134"/>
      </rPr>
      <t>Na</t>
    </r>
    <r>
      <rPr>
        <sz val="10.5"/>
        <rFont val="宋体"/>
        <charset val="134"/>
      </rPr>
      <t>等，其次是</t>
    </r>
    <r>
      <rPr>
        <sz val="10.5"/>
        <rFont val="Times New Roman"/>
        <charset val="134"/>
      </rPr>
      <t>Si</t>
    </r>
    <r>
      <rPr>
        <sz val="10.5"/>
        <rFont val="宋体"/>
        <charset val="134"/>
      </rPr>
      <t>、</t>
    </r>
    <r>
      <rPr>
        <sz val="10.5"/>
        <rFont val="Times New Roman"/>
        <charset val="134"/>
      </rPr>
      <t>Al</t>
    </r>
    <r>
      <rPr>
        <sz val="10.5"/>
        <rFont val="宋体"/>
        <charset val="134"/>
      </rPr>
      <t>、</t>
    </r>
    <r>
      <rPr>
        <sz val="10.5"/>
        <rFont val="Times New Roman"/>
        <charset val="134"/>
      </rPr>
      <t>Mn</t>
    </r>
    <r>
      <rPr>
        <sz val="10.5"/>
        <rFont val="宋体"/>
        <charset val="134"/>
      </rPr>
      <t>、</t>
    </r>
    <r>
      <rPr>
        <sz val="10.5"/>
        <rFont val="Times New Roman"/>
        <charset val="134"/>
      </rPr>
      <t>Ti</t>
    </r>
    <r>
      <rPr>
        <sz val="10.5"/>
        <rFont val="宋体"/>
        <charset val="134"/>
      </rPr>
      <t>、</t>
    </r>
    <r>
      <rPr>
        <sz val="10.5"/>
        <rFont val="Times New Roman"/>
        <charset val="134"/>
      </rPr>
      <t>Cu</t>
    </r>
    <r>
      <rPr>
        <sz val="10.5"/>
        <rFont val="宋体"/>
        <charset val="134"/>
      </rPr>
      <t>等。焊接烟尘排放特点为无组织，根据估算模式核算，项目焊接烟尘的厂界排放浓度为</t>
    </r>
    <r>
      <rPr>
        <sz val="10.5"/>
        <color rgb="FFFF0000"/>
        <rFont val="Times New Roman"/>
        <charset val="134"/>
      </rPr>
      <t>0.005mg/m</t>
    </r>
    <r>
      <rPr>
        <vertAlign val="superscript"/>
        <sz val="10.5"/>
        <color rgb="FFFF0000"/>
        <rFont val="Times New Roman"/>
        <charset val="134"/>
      </rPr>
      <t>3</t>
    </r>
    <r>
      <rPr>
        <sz val="10.5"/>
        <rFont val="Times New Roman"/>
        <charset val="134"/>
      </rPr>
      <t>,</t>
    </r>
    <r>
      <rPr>
        <sz val="10.5"/>
        <rFont val="宋体"/>
        <charset val="134"/>
      </rPr>
      <t>焊接烟尘能满足《大气污染物排放限值》（</t>
    </r>
    <r>
      <rPr>
        <sz val="10.5"/>
        <rFont val="Times New Roman"/>
        <charset val="134"/>
      </rPr>
      <t>DB44/27-2001</t>
    </r>
    <r>
      <rPr>
        <sz val="10.5"/>
        <rFont val="宋体"/>
        <charset val="134"/>
      </rPr>
      <t>）中第二时段无组织排放监控浓度限值，建议加强车间通风，则焊接烟尘对环境影响不大。</t>
    </r>
  </si>
  <si>
    <t>加强通风</t>
  </si>
  <si>
    <t>锡</t>
  </si>
  <si>
    <t>焊锡</t>
  </si>
  <si>
    <t>焊锡废气</t>
  </si>
  <si>
    <r>
      <rPr>
        <sz val="10.5"/>
        <color theme="1"/>
        <rFont val="宋体"/>
        <charset val="134"/>
      </rPr>
      <t>焊锡颗粒物排放执行广东省《大气污染物排放限值》（</t>
    </r>
    <r>
      <rPr>
        <sz val="10.5"/>
        <color theme="1"/>
        <rFont val="Times New Roman"/>
        <charset val="134"/>
      </rPr>
      <t>DB44-27-2001</t>
    </r>
    <r>
      <rPr>
        <sz val="10.5"/>
        <color theme="1"/>
        <rFont val="宋体"/>
        <charset val="134"/>
      </rPr>
      <t>）第Ⅱ时段标准：锡及其化合物最高允许排放浓度</t>
    </r>
    <r>
      <rPr>
        <sz val="10.5"/>
        <color theme="1"/>
        <rFont val="Times New Roman"/>
        <charset val="134"/>
      </rPr>
      <t>8.5mg/m</t>
    </r>
    <r>
      <rPr>
        <vertAlign val="superscript"/>
        <sz val="10.5"/>
        <color theme="1"/>
        <rFont val="Times New Roman"/>
        <charset val="134"/>
      </rPr>
      <t>3</t>
    </r>
    <r>
      <rPr>
        <sz val="10.5"/>
        <color theme="1"/>
        <rFont val="宋体"/>
        <charset val="134"/>
      </rPr>
      <t>；</t>
    </r>
    <r>
      <rPr>
        <sz val="10.5"/>
        <color theme="1"/>
        <rFont val="Times New Roman"/>
        <charset val="134"/>
      </rPr>
      <t>15m</t>
    </r>
    <r>
      <rPr>
        <sz val="10.5"/>
        <color theme="1"/>
        <rFont val="宋体"/>
        <charset val="134"/>
      </rPr>
      <t>高排气筒最高允许排放速率</t>
    </r>
    <r>
      <rPr>
        <sz val="10.5"/>
        <color theme="1"/>
        <rFont val="Times New Roman"/>
        <charset val="134"/>
      </rPr>
      <t>0.25kg/h</t>
    </r>
    <r>
      <rPr>
        <sz val="10.5"/>
        <color theme="1"/>
        <rFont val="宋体"/>
        <charset val="134"/>
      </rPr>
      <t>；无组织排放监控浓度限值</t>
    </r>
    <r>
      <rPr>
        <sz val="10.5"/>
        <color theme="1"/>
        <rFont val="Times New Roman"/>
        <charset val="134"/>
      </rPr>
      <t>0.24mg/m</t>
    </r>
    <r>
      <rPr>
        <vertAlign val="superscript"/>
        <sz val="10.5"/>
        <color theme="1"/>
        <rFont val="Times New Roman"/>
        <charset val="134"/>
      </rPr>
      <t>3</t>
    </r>
    <r>
      <rPr>
        <sz val="10.5"/>
        <color theme="1"/>
        <rFont val="宋体"/>
        <charset val="134"/>
      </rPr>
      <t>。</t>
    </r>
  </si>
  <si>
    <r>
      <rPr>
        <sz val="10.5"/>
        <color theme="1"/>
        <rFont val="Times New Roman"/>
        <charset val="134"/>
      </rPr>
      <t>锡炉、波峰焊：集气罩收集后经15m</t>
    </r>
    <r>
      <rPr>
        <sz val="10.5"/>
        <color theme="1"/>
        <rFont val="宋体"/>
        <charset val="134"/>
      </rPr>
      <t>排气筒高空排放</t>
    </r>
  </si>
  <si>
    <r>
      <rPr>
        <sz val="10.5"/>
        <color theme="1"/>
        <rFont val="宋体"/>
        <charset val="134"/>
      </rPr>
      <t>项目在焊接过程中会产生一定的焊锡废气，主要污染物为锡及其化合物。类比同类型企业，锡条焊锡过程锡及其化合物产生量占锡条用量的</t>
    </r>
    <r>
      <rPr>
        <sz val="10.5"/>
        <color theme="1"/>
        <rFont val="Times New Roman"/>
        <charset val="134"/>
      </rPr>
      <t>1%</t>
    </r>
    <r>
      <rPr>
        <sz val="10.5"/>
        <color theme="1"/>
        <rFont val="宋体"/>
        <charset val="134"/>
      </rPr>
      <t>。根据项目提供资料，项目无铅锡条年用量为</t>
    </r>
    <r>
      <rPr>
        <sz val="10.5"/>
        <color rgb="FFFF0000"/>
        <rFont val="Times New Roman"/>
        <charset val="134"/>
      </rPr>
      <t>1.5t/a</t>
    </r>
    <r>
      <rPr>
        <sz val="10.5"/>
        <color theme="1"/>
        <rFont val="宋体"/>
        <charset val="134"/>
      </rPr>
      <t>。项目年工作天数</t>
    </r>
    <r>
      <rPr>
        <sz val="10.5"/>
        <color theme="1"/>
        <rFont val="Times New Roman"/>
        <charset val="134"/>
      </rPr>
      <t>300</t>
    </r>
    <r>
      <rPr>
        <sz val="10.5"/>
        <color theme="1"/>
        <rFont val="宋体"/>
        <charset val="134"/>
      </rPr>
      <t>天，每天有效焊锡时间为</t>
    </r>
    <r>
      <rPr>
        <sz val="10.5"/>
        <color theme="1"/>
        <rFont val="Times New Roman"/>
        <charset val="134"/>
      </rPr>
      <t>8</t>
    </r>
    <r>
      <rPr>
        <sz val="10.5"/>
        <color theme="1"/>
        <rFont val="宋体"/>
        <charset val="134"/>
      </rPr>
      <t>小时，则锡及其化合物产生量为</t>
    </r>
    <r>
      <rPr>
        <sz val="10.5"/>
        <color rgb="FFFF0000"/>
        <rFont val="Times New Roman"/>
        <charset val="134"/>
      </rPr>
      <t>0.015t/a</t>
    </r>
    <r>
      <rPr>
        <sz val="10.5"/>
        <color rgb="FFFF0000"/>
        <rFont val="宋体"/>
        <charset val="134"/>
      </rPr>
      <t>（</t>
    </r>
    <r>
      <rPr>
        <sz val="10.5"/>
        <color rgb="FFFF0000"/>
        <rFont val="Times New Roman"/>
        <charset val="134"/>
      </rPr>
      <t>0.0063kg/h</t>
    </r>
    <r>
      <rPr>
        <sz val="10.5"/>
        <color rgb="FFFF0000"/>
        <rFont val="宋体"/>
        <charset val="134"/>
      </rPr>
      <t>）</t>
    </r>
    <r>
      <rPr>
        <sz val="10.5"/>
        <color theme="1"/>
        <rFont val="宋体"/>
        <charset val="134"/>
      </rPr>
      <t>。</t>
    </r>
  </si>
  <si>
    <r>
      <rPr>
        <sz val="10.5"/>
        <color theme="1"/>
        <rFont val="宋体"/>
        <charset val="134"/>
      </rPr>
      <t>项目焊锡时会产生焊锡废气，主要污染物为锡及其化合物。根据工艺分析可知，焊锡过程中锡及其化合物产生量为</t>
    </r>
    <r>
      <rPr>
        <sz val="10.5"/>
        <color rgb="FFFF0000"/>
        <rFont val="Times New Roman"/>
        <charset val="134"/>
      </rPr>
      <t>0.015t/a</t>
    </r>
    <r>
      <rPr>
        <sz val="10.5"/>
        <color rgb="FFFF0000"/>
        <rFont val="宋体"/>
        <charset val="134"/>
      </rPr>
      <t>（</t>
    </r>
    <r>
      <rPr>
        <sz val="10.5"/>
        <color rgb="FFFF0000"/>
        <rFont val="Times New Roman"/>
        <charset val="134"/>
      </rPr>
      <t>0.0063kg/h</t>
    </r>
    <r>
      <rPr>
        <sz val="10.5"/>
        <color rgb="FFFF0000"/>
        <rFont val="宋体"/>
        <charset val="134"/>
      </rPr>
      <t>）</t>
    </r>
    <r>
      <rPr>
        <sz val="10.5"/>
        <color theme="1"/>
        <rFont val="宋体"/>
        <charset val="134"/>
      </rPr>
      <t>。</t>
    </r>
    <r>
      <rPr>
        <sz val="10.5"/>
        <color theme="1"/>
        <rFont val="Times New Roman"/>
        <charset val="134"/>
      </rPr>
      <t xml:space="preserve">
</t>
    </r>
    <r>
      <rPr>
        <sz val="10.5"/>
        <color theme="1"/>
        <rFont val="宋体"/>
        <charset val="134"/>
      </rPr>
      <t>环评要求项目在焊锡工序设置集气、排气系统，集气后经排气筒高空排放，排气筒高度为</t>
    </r>
    <r>
      <rPr>
        <sz val="10.5"/>
        <color theme="1"/>
        <rFont val="Times New Roman"/>
        <charset val="134"/>
      </rPr>
      <t>15m</t>
    </r>
    <r>
      <rPr>
        <sz val="10.5"/>
        <color theme="1"/>
        <rFont val="宋体"/>
        <charset val="134"/>
      </rPr>
      <t>，且应高出周围</t>
    </r>
    <r>
      <rPr>
        <sz val="10.5"/>
        <color theme="1"/>
        <rFont val="Times New Roman"/>
        <charset val="134"/>
      </rPr>
      <t>200m</t>
    </r>
    <r>
      <rPr>
        <sz val="10.5"/>
        <color theme="1"/>
        <rFont val="宋体"/>
        <charset val="134"/>
      </rPr>
      <t>半径范围的最高建筑</t>
    </r>
    <r>
      <rPr>
        <sz val="10.5"/>
        <color theme="1"/>
        <rFont val="Times New Roman"/>
        <charset val="134"/>
      </rPr>
      <t>5m</t>
    </r>
    <r>
      <rPr>
        <sz val="10.5"/>
        <color theme="1"/>
        <rFont val="宋体"/>
        <charset val="134"/>
      </rPr>
      <t>以上。排气风量按</t>
    </r>
    <r>
      <rPr>
        <sz val="10.5"/>
        <color rgb="FFFF0000"/>
        <rFont val="Times New Roman"/>
        <charset val="134"/>
      </rPr>
      <t>5000m</t>
    </r>
    <r>
      <rPr>
        <vertAlign val="superscript"/>
        <sz val="10.5"/>
        <color rgb="FFFF0000"/>
        <rFont val="Times New Roman"/>
        <charset val="134"/>
      </rPr>
      <t>3</t>
    </r>
    <r>
      <rPr>
        <sz val="10.5"/>
        <color rgb="FFFF0000"/>
        <rFont val="Times New Roman"/>
        <charset val="134"/>
      </rPr>
      <t>/h</t>
    </r>
    <r>
      <rPr>
        <sz val="10.5"/>
        <color theme="1"/>
        <rFont val="宋体"/>
        <charset val="134"/>
      </rPr>
      <t>计，集气罩收集效率</t>
    </r>
    <r>
      <rPr>
        <sz val="10.5"/>
        <color theme="1"/>
        <rFont val="Times New Roman"/>
        <charset val="134"/>
      </rPr>
      <t>90%</t>
    </r>
    <r>
      <rPr>
        <sz val="10.5"/>
        <color theme="1"/>
        <rFont val="宋体"/>
        <charset val="134"/>
      </rPr>
      <t>，其余</t>
    </r>
    <r>
      <rPr>
        <sz val="10.5"/>
        <color theme="1"/>
        <rFont val="Times New Roman"/>
        <charset val="134"/>
      </rPr>
      <t>10%</t>
    </r>
    <r>
      <rPr>
        <sz val="10.5"/>
        <color theme="1"/>
        <rFont val="宋体"/>
        <charset val="134"/>
      </rPr>
      <t>为无组织排放。则污染物有组织及无组织排放情况见下表：焊锡废气排放可达《广东省大气污染物排放限值》（</t>
    </r>
    <r>
      <rPr>
        <sz val="10.5"/>
        <color theme="1"/>
        <rFont val="Times New Roman"/>
        <charset val="134"/>
      </rPr>
      <t>DB44-27-2001</t>
    </r>
    <r>
      <rPr>
        <sz val="10.5"/>
        <color theme="1"/>
        <rFont val="宋体"/>
        <charset val="134"/>
      </rPr>
      <t>）第Ⅱ时段标准：锡及其化合物最高允许排放浓度</t>
    </r>
    <r>
      <rPr>
        <sz val="10.5"/>
        <color theme="1"/>
        <rFont val="Times New Roman"/>
        <charset val="134"/>
      </rPr>
      <t>8.5mg/m</t>
    </r>
    <r>
      <rPr>
        <vertAlign val="superscript"/>
        <sz val="10.5"/>
        <color theme="1"/>
        <rFont val="Times New Roman"/>
        <charset val="134"/>
      </rPr>
      <t>3</t>
    </r>
    <r>
      <rPr>
        <sz val="10.5"/>
        <color theme="1"/>
        <rFont val="宋体"/>
        <charset val="134"/>
      </rPr>
      <t>、无组织排放监控浓度限值</t>
    </r>
    <r>
      <rPr>
        <sz val="10.5"/>
        <color theme="1"/>
        <rFont val="Times New Roman"/>
        <charset val="134"/>
      </rPr>
      <t>0.24mg/m</t>
    </r>
    <r>
      <rPr>
        <vertAlign val="superscript"/>
        <sz val="10.5"/>
        <color theme="1"/>
        <rFont val="Times New Roman"/>
        <charset val="134"/>
      </rPr>
      <t>3</t>
    </r>
    <r>
      <rPr>
        <sz val="10.5"/>
        <color theme="1"/>
        <rFont val="宋体"/>
        <charset val="134"/>
      </rPr>
      <t>。</t>
    </r>
  </si>
  <si>
    <r>
      <rPr>
        <sz val="10.5"/>
        <color theme="1"/>
        <rFont val="宋体"/>
        <charset val="134"/>
      </rPr>
      <t>经集气罩收集后引至</t>
    </r>
    <r>
      <rPr>
        <sz val="10.5"/>
        <color theme="1"/>
        <rFont val="Times New Roman"/>
        <charset val="134"/>
      </rPr>
      <t>15m</t>
    </r>
    <r>
      <rPr>
        <sz val="10.5"/>
        <color theme="1"/>
        <rFont val="宋体"/>
        <charset val="134"/>
      </rPr>
      <t>高排气筒排放</t>
    </r>
  </si>
  <si>
    <t>点焊、碰焊烟尘</t>
  </si>
  <si>
    <r>
      <rPr>
        <sz val="10.5"/>
        <color theme="1"/>
        <rFont val="Times New Roman"/>
        <charset val="134"/>
      </rPr>
      <t>颗粒物排放执行《大气污染物排放限值》（DB44/27-2001</t>
    </r>
    <r>
      <rPr>
        <sz val="10.5"/>
        <color theme="1"/>
        <rFont val="宋体"/>
        <charset val="134"/>
      </rPr>
      <t>）中第二时段无组织排放监控浓度限值，即</t>
    </r>
    <r>
      <rPr>
        <sz val="10.5"/>
        <color theme="1"/>
        <rFont val="Times New Roman"/>
        <charset val="134"/>
      </rPr>
      <t>1mg/m</t>
    </r>
    <r>
      <rPr>
        <vertAlign val="superscript"/>
        <sz val="10.5"/>
        <color theme="1"/>
        <rFont val="Times New Roman"/>
        <charset val="134"/>
      </rPr>
      <t>3</t>
    </r>
    <r>
      <rPr>
        <sz val="10.5"/>
        <color theme="1"/>
        <rFont val="宋体"/>
        <charset val="134"/>
      </rPr>
      <t>。</t>
    </r>
  </si>
  <si>
    <t>定性分析</t>
  </si>
  <si>
    <t>碰焊机，属于电阻焊一类，参考《不同焊接工艺的焊接烟尘污染特征》（太原市机械电子工业局，郭永葆），电阻焊施焊过程是电极对被焊接金属施压并通电，电流通过金属件紧贴的接触部位时，其电阻较大，发热并熔融接触点，在电极压力作用下，接触点处焊为一体。电阻焊无需焊材、焊剂。当被焊接材料焊接部位表面处理洁净时，基本没有焊接烟尘产生。</t>
  </si>
  <si>
    <t>布轮</t>
  </si>
  <si>
    <t>抛光粉尘(布轮)</t>
  </si>
  <si>
    <r>
      <rPr>
        <sz val="10.5"/>
        <color theme="1"/>
        <rFont val="宋体"/>
        <charset val="134"/>
      </rPr>
      <t>颗粒物执行广东省地方标准《大气污染物排放限值》（</t>
    </r>
    <r>
      <rPr>
        <sz val="10.5"/>
        <color theme="1"/>
        <rFont val="Times New Roman"/>
        <charset val="134"/>
      </rPr>
      <t>DB44/27-2001</t>
    </r>
    <r>
      <rPr>
        <sz val="10.5"/>
        <color theme="1"/>
        <rFont val="宋体"/>
        <charset val="134"/>
      </rPr>
      <t>）第二时段标准：颗粒物无组织排放监控点浓度限值</t>
    </r>
    <r>
      <rPr>
        <sz val="10.5"/>
        <color theme="1"/>
        <rFont val="Times New Roman"/>
        <charset val="134"/>
      </rPr>
      <t>1.0mg/m</t>
    </r>
    <r>
      <rPr>
        <vertAlign val="superscript"/>
        <sz val="10.5"/>
        <color theme="1"/>
        <rFont val="Times New Roman"/>
        <charset val="134"/>
      </rPr>
      <t>3</t>
    </r>
    <r>
      <rPr>
        <sz val="10.5"/>
        <color theme="1"/>
        <rFont val="宋体"/>
        <charset val="134"/>
      </rPr>
      <t>；颗粒物最高允许排放浓度</t>
    </r>
    <r>
      <rPr>
        <sz val="10.5"/>
        <color theme="1"/>
        <rFont val="Times New Roman"/>
        <charset val="134"/>
      </rPr>
      <t>120mg/m</t>
    </r>
    <r>
      <rPr>
        <vertAlign val="superscript"/>
        <sz val="10.5"/>
        <color theme="1"/>
        <rFont val="Times New Roman"/>
        <charset val="134"/>
      </rPr>
      <t>3</t>
    </r>
    <r>
      <rPr>
        <sz val="10.5"/>
        <color theme="1"/>
        <rFont val="宋体"/>
        <charset val="134"/>
      </rPr>
      <t>。</t>
    </r>
  </si>
  <si>
    <t>水喷淋处理</t>
  </si>
  <si>
    <r>
      <rPr>
        <sz val="10.5"/>
        <color rgb="FF000000"/>
        <rFont val="宋体"/>
        <charset val="134"/>
      </rPr>
      <t>项目需要对制成的</t>
    </r>
    <r>
      <rPr>
        <sz val="10.5"/>
        <color rgb="FFFF0000"/>
        <rFont val="宋体"/>
        <charset val="134"/>
      </rPr>
      <t>不锈钢管材</t>
    </r>
    <r>
      <rPr>
        <sz val="10.5"/>
        <color rgb="FF000000"/>
        <rFont val="宋体"/>
        <charset val="134"/>
      </rPr>
      <t>的表面进行抛光。</t>
    </r>
    <r>
      <rPr>
        <sz val="10.5"/>
        <color rgb="FFFF0000"/>
        <rFont val="宋体"/>
        <charset val="134"/>
      </rPr>
      <t>布轮抛光</t>
    </r>
    <r>
      <rPr>
        <sz val="10.5"/>
        <color rgb="FF000000"/>
        <rFont val="宋体"/>
        <charset val="134"/>
      </rPr>
      <t>原理是通过</t>
    </r>
    <r>
      <rPr>
        <sz val="10.5"/>
        <color rgb="FFFF0000"/>
        <rFont val="宋体"/>
        <charset val="134"/>
      </rPr>
      <t>布</t>
    </r>
    <r>
      <rPr>
        <sz val="10.5"/>
        <color rgb="FF000000"/>
        <rFont val="宋体"/>
        <charset val="134"/>
      </rPr>
      <t>和管材间的摩擦，使得管材表面光滑。</t>
    </r>
    <r>
      <rPr>
        <sz val="10.5"/>
        <color theme="1"/>
        <rFont val="宋体"/>
        <charset val="134"/>
      </rPr>
      <t>根据生产实践，抛光工序的粉尘产生量按</t>
    </r>
    <r>
      <rPr>
        <sz val="10.5"/>
        <color theme="1"/>
        <rFont val="Times New Roman"/>
        <charset val="134"/>
      </rPr>
      <t>0.5‰</t>
    </r>
    <r>
      <rPr>
        <sz val="10.5"/>
        <color theme="1"/>
        <rFont val="宋体"/>
        <charset val="134"/>
      </rPr>
      <t>计算。抛光粉尘收集后经</t>
    </r>
    <r>
      <rPr>
        <sz val="10.5"/>
        <color rgb="FFFF0000"/>
        <rFont val="宋体"/>
        <charset val="134"/>
      </rPr>
      <t>水喷淋处理</t>
    </r>
    <r>
      <rPr>
        <sz val="10.5"/>
        <color theme="1"/>
        <rFont val="宋体"/>
        <charset val="134"/>
      </rPr>
      <t>后高空排放，</t>
    </r>
    <r>
      <rPr>
        <sz val="10.5"/>
        <color rgb="FFFF0000"/>
        <rFont val="宋体"/>
        <charset val="134"/>
      </rPr>
      <t>水喷淋除尘效率</t>
    </r>
    <r>
      <rPr>
        <sz val="10.5"/>
        <color rgb="FFFF0000"/>
        <rFont val="Times New Roman"/>
        <charset val="134"/>
      </rPr>
      <t>80%</t>
    </r>
    <r>
      <rPr>
        <sz val="10.5"/>
        <color rgb="FFFF0000"/>
        <rFont val="宋体"/>
        <charset val="134"/>
      </rPr>
      <t>，粉尘收集效率为</t>
    </r>
    <r>
      <rPr>
        <sz val="10.5"/>
        <color rgb="FFFF0000"/>
        <rFont val="Times New Roman"/>
        <charset val="134"/>
      </rPr>
      <t>90%</t>
    </r>
    <r>
      <rPr>
        <sz val="10.5"/>
        <color theme="1"/>
        <rFont val="宋体"/>
        <charset val="134"/>
      </rPr>
      <t>，根据建设单位提供的资料，项目每小时抛光管材量为</t>
    </r>
    <r>
      <rPr>
        <sz val="10.5"/>
        <color rgb="FFFF0000"/>
        <rFont val="Times New Roman"/>
        <charset val="134"/>
      </rPr>
      <t>1.77t</t>
    </r>
    <r>
      <rPr>
        <sz val="10.5"/>
        <color rgb="FFFF0000"/>
        <rFont val="宋体"/>
        <charset val="134"/>
      </rPr>
      <t>。</t>
    </r>
    <r>
      <rPr>
        <sz val="10.5"/>
        <color theme="1"/>
        <rFont val="宋体"/>
        <charset val="134"/>
      </rPr>
      <t>抛光工序为连续的工序，每天抛光时间为</t>
    </r>
    <r>
      <rPr>
        <sz val="10.5"/>
        <color rgb="FFFF0000"/>
        <rFont val="Times New Roman"/>
        <charset val="134"/>
      </rPr>
      <t>8</t>
    </r>
    <r>
      <rPr>
        <sz val="10.5"/>
        <color rgb="FFFF0000"/>
        <rFont val="宋体"/>
        <charset val="134"/>
      </rPr>
      <t>小时</t>
    </r>
    <r>
      <rPr>
        <sz val="10.5"/>
        <color theme="1"/>
        <rFont val="宋体"/>
        <charset val="134"/>
      </rPr>
      <t>，风机风量为</t>
    </r>
    <r>
      <rPr>
        <sz val="10.5"/>
        <color rgb="FFFF0000"/>
        <rFont val="Times New Roman"/>
        <charset val="134"/>
      </rPr>
      <t>8000m</t>
    </r>
    <r>
      <rPr>
        <vertAlign val="superscript"/>
        <sz val="10.5"/>
        <color rgb="FFFF0000"/>
        <rFont val="Times New Roman"/>
        <charset val="134"/>
      </rPr>
      <t>3</t>
    </r>
    <r>
      <rPr>
        <sz val="10.5"/>
        <color rgb="FFFF0000"/>
        <rFont val="Times New Roman"/>
        <charset val="134"/>
      </rPr>
      <t>/h</t>
    </r>
    <r>
      <rPr>
        <sz val="10.5"/>
        <color theme="1"/>
        <rFont val="宋体"/>
        <charset val="134"/>
      </rPr>
      <t>。则抛光粉尘产生和排放情况如下表。</t>
    </r>
  </si>
  <si>
    <r>
      <rPr>
        <sz val="10.5"/>
        <color theme="1"/>
        <rFont val="宋体"/>
        <charset val="134"/>
      </rPr>
      <t>项目需要对制成的不锈钢管材的表面进行布轮抛光。布轮抛光原理是通过布和管材间的摩擦，使得管材表面光滑。抛光会因布轮跟管材表面的摩擦产生粉尘。项目在抛光机的上方设置了集气罩，将粉尘收集后使用</t>
    </r>
    <r>
      <rPr>
        <sz val="10.5"/>
        <color rgb="FFFF0000"/>
        <rFont val="宋体"/>
        <charset val="134"/>
      </rPr>
      <t>水喷淋对粉尘进行处理</t>
    </r>
    <r>
      <rPr>
        <sz val="10.5"/>
        <color theme="1"/>
        <rFont val="宋体"/>
        <charset val="134"/>
      </rPr>
      <t>。</t>
    </r>
    <r>
      <rPr>
        <sz val="10.5"/>
        <color rgb="FFFF0000"/>
        <rFont val="宋体"/>
        <charset val="134"/>
      </rPr>
      <t>水喷淋</t>
    </r>
    <r>
      <rPr>
        <sz val="10.5"/>
        <color theme="1"/>
        <rFont val="宋体"/>
        <charset val="134"/>
      </rPr>
      <t>除尘效率可达</t>
    </r>
    <r>
      <rPr>
        <sz val="10.5"/>
        <color rgb="FFFF0000"/>
        <rFont val="Times New Roman"/>
        <charset val="134"/>
      </rPr>
      <t>80%</t>
    </r>
    <r>
      <rPr>
        <sz val="10.5"/>
        <color theme="1"/>
        <rFont val="宋体"/>
        <charset val="134"/>
      </rPr>
      <t>，除尘效果良好，经核算，项目抛光粉尘经水喷淋处理后，排放浓度和排放速率均能达到《大气污染物排放限值》第二时段二级标准和无组织排放浓度限制。项目使用水喷淋治理粉尘后，粉尘排放量较少，经大气稀释扩散后，对环境影响不明显。</t>
    </r>
  </si>
  <si>
    <r>
      <rPr>
        <sz val="10.5"/>
        <color theme="1"/>
        <rFont val="宋体"/>
        <charset val="134"/>
      </rPr>
      <t>水喷淋除尘后经</t>
    </r>
    <r>
      <rPr>
        <sz val="10.5"/>
        <color theme="1"/>
        <rFont val="Times New Roman"/>
        <charset val="134"/>
      </rPr>
      <t>15</t>
    </r>
    <r>
      <rPr>
        <sz val="10.5"/>
        <color theme="1"/>
        <rFont val="宋体"/>
        <charset val="134"/>
      </rPr>
      <t>米排气筒排放</t>
    </r>
  </si>
  <si>
    <t>抛光粉尘(钢)</t>
  </si>
  <si>
    <r>
      <rPr>
        <sz val="10.5"/>
        <color theme="1"/>
        <rFont val="宋体"/>
        <charset val="134"/>
      </rPr>
      <t>颗粒物执行广东省地方标准《大气污染物排放限值》（</t>
    </r>
    <r>
      <rPr>
        <sz val="10.5"/>
        <color theme="1"/>
        <rFont val="Times New Roman"/>
        <charset val="134"/>
      </rPr>
      <t>DB44/27-2001</t>
    </r>
    <r>
      <rPr>
        <sz val="10.5"/>
        <color theme="1"/>
        <rFont val="宋体"/>
        <charset val="134"/>
      </rPr>
      <t>）第二时段标准：颗粒物无组织排放监控点浓度限值</t>
    </r>
    <r>
      <rPr>
        <sz val="10.5"/>
        <color theme="1"/>
        <rFont val="Times New Roman"/>
        <charset val="134"/>
      </rPr>
      <t>1.0mg/m</t>
    </r>
    <r>
      <rPr>
        <vertAlign val="superscript"/>
        <sz val="10.5"/>
        <color theme="1"/>
        <rFont val="Times New Roman"/>
        <charset val="134"/>
      </rPr>
      <t>3</t>
    </r>
    <r>
      <rPr>
        <sz val="10.5"/>
        <color theme="1"/>
        <rFont val="宋体"/>
        <charset val="134"/>
      </rPr>
      <t>；颗粒物最高允许排放浓度</t>
    </r>
    <r>
      <rPr>
        <sz val="10.5"/>
        <color theme="1"/>
        <rFont val="Times New Roman"/>
        <charset val="134"/>
      </rPr>
      <t>120mg/m</t>
    </r>
    <r>
      <rPr>
        <vertAlign val="superscript"/>
        <sz val="10.5"/>
        <color theme="1"/>
        <rFont val="Times New Roman"/>
        <charset val="134"/>
      </rPr>
      <t>4。</t>
    </r>
  </si>
  <si>
    <t>布袋除尘处理</t>
  </si>
  <si>
    <r>
      <rPr>
        <sz val="10.5"/>
        <color theme="1"/>
        <rFont val="宋体"/>
        <charset val="134"/>
      </rPr>
      <t>项目的打磨抛光工序会产生一定量的金属粉尘。类比其他同类型项目，抛光工序产生的粉尘量约为加工件重量的</t>
    </r>
    <r>
      <rPr>
        <sz val="10.5"/>
        <color theme="1"/>
        <rFont val="Times New Roman"/>
        <charset val="134"/>
      </rPr>
      <t>0.5%</t>
    </r>
    <r>
      <rPr>
        <sz val="10.5"/>
        <color theme="1"/>
        <rFont val="宋体"/>
        <charset val="134"/>
      </rPr>
      <t>。项目经抛光处理的工件共约</t>
    </r>
    <r>
      <rPr>
        <sz val="10.5"/>
        <color rgb="FFFF0000"/>
        <rFont val="Times New Roman"/>
        <charset val="134"/>
      </rPr>
      <t>260</t>
    </r>
    <r>
      <rPr>
        <sz val="10.5"/>
        <color rgb="FFFF0000"/>
        <rFont val="宋体"/>
        <charset val="134"/>
      </rPr>
      <t>吨</t>
    </r>
    <r>
      <rPr>
        <sz val="10.5"/>
        <color theme="1"/>
        <rFont val="宋体"/>
        <charset val="134"/>
      </rPr>
      <t>，最大加工量为</t>
    </r>
    <r>
      <rPr>
        <sz val="10.5"/>
        <color rgb="FFFF0000"/>
        <rFont val="Times New Roman"/>
        <charset val="134"/>
      </rPr>
      <t>144kg/h</t>
    </r>
    <r>
      <rPr>
        <sz val="10.5"/>
        <color theme="1"/>
        <rFont val="宋体"/>
        <charset val="134"/>
      </rPr>
      <t>，则粉尘的产生量约为</t>
    </r>
    <r>
      <rPr>
        <sz val="10.5"/>
        <color rgb="FFFF0000"/>
        <rFont val="Times New Roman"/>
        <charset val="134"/>
      </rPr>
      <t>13</t>
    </r>
    <r>
      <rPr>
        <sz val="10.5"/>
        <color theme="1"/>
        <rFont val="Times New Roman"/>
        <charset val="134"/>
      </rPr>
      <t>t/a</t>
    </r>
    <r>
      <rPr>
        <sz val="10.5"/>
        <color theme="1"/>
        <rFont val="宋体"/>
        <charset val="134"/>
      </rPr>
      <t>，最大产生速率为</t>
    </r>
    <r>
      <rPr>
        <sz val="10.5"/>
        <color rgb="FFFF0000"/>
        <rFont val="Times New Roman"/>
        <charset val="134"/>
      </rPr>
      <t>7.2</t>
    </r>
    <r>
      <rPr>
        <sz val="10.5"/>
        <color theme="1"/>
        <rFont val="Times New Roman"/>
        <charset val="134"/>
      </rPr>
      <t>kg/h</t>
    </r>
    <r>
      <rPr>
        <sz val="10.5"/>
        <color theme="1"/>
        <rFont val="宋体"/>
        <charset val="134"/>
      </rPr>
      <t>。项目的抛光机械配套脉冲式布袋除尘器，抛光产生的粉尘经布袋除尘处理后于</t>
    </r>
    <r>
      <rPr>
        <sz val="10.5"/>
        <color theme="1"/>
        <rFont val="Times New Roman"/>
        <charset val="134"/>
      </rPr>
      <t>15</t>
    </r>
    <r>
      <rPr>
        <sz val="10.5"/>
        <color theme="1"/>
        <rFont val="宋体"/>
        <charset val="134"/>
      </rPr>
      <t>米排气筒排放，收集效率按</t>
    </r>
    <r>
      <rPr>
        <sz val="10.5"/>
        <color theme="1"/>
        <rFont val="Times New Roman"/>
        <charset val="134"/>
      </rPr>
      <t>90%</t>
    </r>
    <r>
      <rPr>
        <sz val="10.5"/>
        <color theme="1"/>
        <rFont val="宋体"/>
        <charset val="134"/>
      </rPr>
      <t>计算，布袋除尘处理效率按</t>
    </r>
    <r>
      <rPr>
        <sz val="10.5"/>
        <color theme="1"/>
        <rFont val="Times New Roman"/>
        <charset val="134"/>
      </rPr>
      <t>99%</t>
    </r>
    <r>
      <rPr>
        <sz val="10.5"/>
        <color theme="1"/>
        <rFont val="宋体"/>
        <charset val="134"/>
      </rPr>
      <t>计算，风机风量为</t>
    </r>
    <r>
      <rPr>
        <sz val="10.5"/>
        <color rgb="FFFF0000"/>
        <rFont val="Times New Roman"/>
        <charset val="134"/>
      </rPr>
      <t>10000m</t>
    </r>
    <r>
      <rPr>
        <vertAlign val="superscript"/>
        <sz val="10.5"/>
        <color rgb="FFFF0000"/>
        <rFont val="Times New Roman"/>
        <charset val="134"/>
      </rPr>
      <t>3</t>
    </r>
    <r>
      <rPr>
        <sz val="10.5"/>
        <color rgb="FFFF0000"/>
        <rFont val="Times New Roman"/>
        <charset val="134"/>
      </rPr>
      <t>/h</t>
    </r>
    <r>
      <rPr>
        <sz val="10.5"/>
        <color theme="1"/>
        <rFont val="宋体"/>
        <charset val="134"/>
      </rPr>
      <t>，则项目抛光粉尘产排情况见表</t>
    </r>
  </si>
  <si>
    <r>
      <rPr>
        <sz val="10.5"/>
        <color theme="1"/>
        <rFont val="宋体"/>
        <charset val="134"/>
      </rPr>
      <t>项目打磨过程中会产生大量的粉尘，污染因子为颗粒物。项目的抛光机械配套脉冲式布袋除尘器，抛光产生的粉尘经布袋除尘处理后于</t>
    </r>
    <r>
      <rPr>
        <sz val="10.5"/>
        <color theme="1"/>
        <rFont val="Times New Roman"/>
        <charset val="134"/>
      </rPr>
      <t>15</t>
    </r>
    <r>
      <rPr>
        <sz val="10.5"/>
        <color theme="1"/>
        <rFont val="宋体"/>
        <charset val="134"/>
      </rPr>
      <t>米排气筒排放，经处理后烟尘的</t>
    </r>
    <r>
      <rPr>
        <sz val="10.5"/>
        <color rgb="FFFF0000"/>
        <rFont val="宋体"/>
        <charset val="134"/>
      </rPr>
      <t>排放速率为</t>
    </r>
    <r>
      <rPr>
        <sz val="10.5"/>
        <color rgb="FFFF0000"/>
        <rFont val="Times New Roman"/>
        <charset val="134"/>
      </rPr>
      <t>0.1kg/h</t>
    </r>
    <r>
      <rPr>
        <sz val="10.5"/>
        <color rgb="FFFF0000"/>
        <rFont val="宋体"/>
        <charset val="134"/>
      </rPr>
      <t>，排放浓度为</t>
    </r>
    <r>
      <rPr>
        <sz val="10.5"/>
        <color rgb="FFFF0000"/>
        <rFont val="Times New Roman"/>
        <charset val="134"/>
      </rPr>
      <t>6.5 mg/m</t>
    </r>
    <r>
      <rPr>
        <vertAlign val="superscript"/>
        <sz val="10.5"/>
        <color rgb="FFFF0000"/>
        <rFont val="Times New Roman"/>
        <charset val="134"/>
      </rPr>
      <t>3</t>
    </r>
    <r>
      <rPr>
        <sz val="10.5"/>
        <color theme="1"/>
        <rFont val="宋体"/>
        <charset val="134"/>
      </rPr>
      <t>，符合广东省地方标准《大气污染物排放限值》（</t>
    </r>
    <r>
      <rPr>
        <sz val="10.5"/>
        <color theme="1"/>
        <rFont val="Times New Roman"/>
        <charset val="134"/>
      </rPr>
      <t>DB 44/27-2001</t>
    </r>
    <r>
      <rPr>
        <sz val="10.5"/>
        <color theme="1"/>
        <rFont val="宋体"/>
        <charset val="134"/>
      </rPr>
      <t>）第二时段二级标准，对周围空气质量影响不大。</t>
    </r>
  </si>
  <si>
    <t>配套脉冲式布袋除尘器，处理后无组织排放</t>
  </si>
  <si>
    <t>铝</t>
  </si>
  <si>
    <t>压铸</t>
  </si>
  <si>
    <t>压铸油雾</t>
  </si>
  <si>
    <r>
      <rPr>
        <sz val="10.5"/>
        <color theme="1"/>
        <rFont val="Times New Roman"/>
        <charset val="134"/>
      </rPr>
      <t>颗粒物排放执行《大气污染物排放限值》（DB44/27-2001</t>
    </r>
    <r>
      <rPr>
        <sz val="10.5"/>
        <color theme="1"/>
        <rFont val="宋体"/>
        <charset val="134"/>
      </rPr>
      <t>）中第二时段二级标准和无组织排放监控浓度限值，即</t>
    </r>
    <r>
      <rPr>
        <sz val="10.5"/>
        <color theme="1"/>
        <rFont val="Times New Roman"/>
        <charset val="134"/>
      </rPr>
      <t>1mg/m</t>
    </r>
    <r>
      <rPr>
        <vertAlign val="superscript"/>
        <sz val="10.5"/>
        <color theme="1"/>
        <rFont val="Times New Roman"/>
        <charset val="134"/>
      </rPr>
      <t>3</t>
    </r>
    <r>
      <rPr>
        <sz val="10.5"/>
        <color theme="1"/>
        <rFont val="宋体"/>
        <charset val="134"/>
      </rPr>
      <t>。</t>
    </r>
  </si>
  <si>
    <r>
      <rPr>
        <sz val="10.5"/>
        <color theme="1"/>
        <rFont val="Times New Roman"/>
        <charset val="134"/>
      </rPr>
      <t>项目根据生产需要对铝锭进行熔融、压铸，利用压力脱模。生产过程烟尘主要来自铝锭的熔融及压铸，由于铝锭中含有杂质，故熔融和压铸过程会产生一定量的烟尘，污染因子为颗粒物。参考《污染源普查产排污系数手册（下）》中：第一篇“</t>
    </r>
    <r>
      <rPr>
        <sz val="10.5"/>
        <color theme="1"/>
        <rFont val="宋体"/>
        <charset val="134"/>
      </rPr>
      <t>工业污染源产排污系数</t>
    </r>
    <r>
      <rPr>
        <sz val="10.5"/>
        <color theme="1"/>
        <rFont val="Times New Roman"/>
        <charset val="134"/>
      </rPr>
      <t>”</t>
    </r>
    <r>
      <rPr>
        <sz val="10.5"/>
        <color theme="1"/>
        <rFont val="宋体"/>
        <charset val="134"/>
      </rPr>
      <t>中的第</t>
    </r>
    <r>
      <rPr>
        <sz val="10.5"/>
        <color theme="1"/>
        <rFont val="Times New Roman"/>
        <charset val="134"/>
      </rPr>
      <t>35</t>
    </r>
    <r>
      <rPr>
        <sz val="10.5"/>
        <color theme="1"/>
        <rFont val="宋体"/>
        <charset val="134"/>
      </rPr>
      <t>节</t>
    </r>
    <r>
      <rPr>
        <sz val="10.5"/>
        <color theme="1"/>
        <rFont val="Times New Roman"/>
        <charset val="134"/>
      </rPr>
      <t>“</t>
    </r>
    <r>
      <rPr>
        <sz val="10.5"/>
        <color theme="1"/>
        <rFont val="宋体"/>
        <charset val="134"/>
      </rPr>
      <t>通用设备制造业</t>
    </r>
    <r>
      <rPr>
        <sz val="10.5"/>
        <color theme="1"/>
        <rFont val="Times New Roman"/>
        <charset val="134"/>
      </rPr>
      <t>”</t>
    </r>
    <r>
      <rPr>
        <sz val="10.5"/>
        <color theme="1"/>
        <rFont val="宋体"/>
        <charset val="134"/>
      </rPr>
      <t>中</t>
    </r>
    <r>
      <rPr>
        <sz val="10.5"/>
        <color theme="1"/>
        <rFont val="Times New Roman"/>
        <charset val="134"/>
      </rPr>
      <t>“</t>
    </r>
    <r>
      <rPr>
        <sz val="10.5"/>
        <color theme="1"/>
        <rFont val="宋体"/>
        <charset val="134"/>
      </rPr>
      <t>钢铁铸件制造业</t>
    </r>
    <r>
      <rPr>
        <sz val="10.5"/>
        <color theme="1"/>
        <rFont val="Times New Roman"/>
        <charset val="134"/>
      </rPr>
      <t>”</t>
    </r>
    <r>
      <rPr>
        <sz val="10.5"/>
        <color theme="1"/>
        <rFont val="宋体"/>
        <charset val="134"/>
      </rPr>
      <t>，参照其中铸铝件（结构材料：铝合金锭）中烟尘产污系数</t>
    </r>
    <r>
      <rPr>
        <sz val="10.5"/>
        <color theme="1"/>
        <rFont val="Times New Roman"/>
        <charset val="134"/>
      </rPr>
      <t>3.4kg/</t>
    </r>
    <r>
      <rPr>
        <sz val="10.5"/>
        <color theme="1"/>
        <rFont val="宋体"/>
        <charset val="134"/>
      </rPr>
      <t>吨产品，企业铸铝转子产品约</t>
    </r>
    <r>
      <rPr>
        <sz val="10.5"/>
        <color rgb="FFFF0000"/>
        <rFont val="Times New Roman"/>
        <charset val="134"/>
      </rPr>
      <t>260t/a</t>
    </r>
    <r>
      <rPr>
        <sz val="10.5"/>
        <color theme="1"/>
        <rFont val="宋体"/>
        <charset val="134"/>
      </rPr>
      <t>，</t>
    </r>
    <r>
      <rPr>
        <sz val="10.5"/>
        <color theme="1"/>
        <rFont val="Times New Roman"/>
        <charset val="134"/>
      </rPr>
      <t>1</t>
    </r>
    <r>
      <rPr>
        <sz val="10.5"/>
        <color theme="1"/>
        <rFont val="宋体"/>
        <charset val="134"/>
      </rPr>
      <t>小时最大产能约</t>
    </r>
    <r>
      <rPr>
        <sz val="10.5"/>
        <color rgb="FFFF0000"/>
        <rFont val="Times New Roman"/>
        <charset val="134"/>
      </rPr>
      <t>144kg</t>
    </r>
    <r>
      <rPr>
        <sz val="10.5"/>
        <color theme="1"/>
        <rFont val="宋体"/>
        <charset val="134"/>
      </rPr>
      <t>，则烟尘产生速率为</t>
    </r>
    <r>
      <rPr>
        <sz val="10.5"/>
        <color rgb="FFFF0000"/>
        <rFont val="Times New Roman"/>
        <charset val="134"/>
      </rPr>
      <t>0.5kg/h</t>
    </r>
    <r>
      <rPr>
        <sz val="10.5"/>
        <color theme="1"/>
        <rFont val="宋体"/>
        <charset val="134"/>
      </rPr>
      <t>和产生量为</t>
    </r>
    <r>
      <rPr>
        <sz val="10.5"/>
        <color rgb="FFFF0000"/>
        <rFont val="Times New Roman"/>
        <charset val="134"/>
      </rPr>
      <t>0.88 t/a</t>
    </r>
    <r>
      <rPr>
        <sz val="10.5"/>
        <color theme="1"/>
        <rFont val="宋体"/>
        <charset val="134"/>
      </rPr>
      <t>，采用集气罩收集后经布袋除尘后引至</t>
    </r>
    <r>
      <rPr>
        <sz val="10.5"/>
        <color theme="1"/>
        <rFont val="Times New Roman"/>
        <charset val="134"/>
      </rPr>
      <t>15m</t>
    </r>
    <r>
      <rPr>
        <sz val="10.5"/>
        <color theme="1"/>
        <rFont val="宋体"/>
        <charset val="134"/>
      </rPr>
      <t>高排气筒排放，收集效率约为</t>
    </r>
    <r>
      <rPr>
        <sz val="10.5"/>
        <color theme="1"/>
        <rFont val="Times New Roman"/>
        <charset val="134"/>
      </rPr>
      <t>90%</t>
    </r>
    <r>
      <rPr>
        <sz val="10.5"/>
        <color theme="1"/>
        <rFont val="宋体"/>
        <charset val="134"/>
      </rPr>
      <t>，处理效果为</t>
    </r>
    <r>
      <rPr>
        <sz val="10.5"/>
        <color theme="1"/>
        <rFont val="Times New Roman"/>
        <charset val="134"/>
      </rPr>
      <t>99%</t>
    </r>
    <r>
      <rPr>
        <sz val="10.5"/>
        <color theme="1"/>
        <rFont val="宋体"/>
        <charset val="134"/>
      </rPr>
      <t>。项目压铸烟尘产生排放情况见下表：</t>
    </r>
  </si>
  <si>
    <r>
      <rPr>
        <sz val="10.5"/>
        <color theme="1"/>
        <rFont val="Times New Roman"/>
        <charset val="134"/>
      </rPr>
      <t>项目根据生产需要对铝锭进行熔融、压铸，利用压力脱模。生产过程烟尘主要来自铝锭的熔融及压铸，由于铝锭中含有杂质，故熔融和压铸过程会产生一定量的烟尘，污染因子为颗粒物。采用集气罩收集后经布袋除尘后引至15m</t>
    </r>
    <r>
      <rPr>
        <sz val="10.5"/>
        <color theme="1"/>
        <rFont val="宋体"/>
        <charset val="134"/>
      </rPr>
      <t>高排气筒排放，根据污染源强分析章节计算可知，经处理后烟尘的排放速率为</t>
    </r>
    <r>
      <rPr>
        <sz val="10.5"/>
        <color rgb="FFFF0000"/>
        <rFont val="Times New Roman"/>
        <charset val="134"/>
      </rPr>
      <t>0.004kg/h</t>
    </r>
    <r>
      <rPr>
        <sz val="10.5"/>
        <color theme="1"/>
        <rFont val="宋体"/>
        <charset val="134"/>
      </rPr>
      <t>，排放浓度为</t>
    </r>
    <r>
      <rPr>
        <sz val="10.5"/>
        <color rgb="FFFF0000"/>
        <rFont val="Times New Roman"/>
        <charset val="134"/>
      </rPr>
      <t>0.55 mg/m</t>
    </r>
    <r>
      <rPr>
        <vertAlign val="superscript"/>
        <sz val="10.5"/>
        <color rgb="FFFF0000"/>
        <rFont val="Times New Roman"/>
        <charset val="134"/>
      </rPr>
      <t>3</t>
    </r>
    <r>
      <rPr>
        <sz val="10.5"/>
        <color theme="1"/>
        <rFont val="宋体"/>
        <charset val="134"/>
      </rPr>
      <t>，符合广东省地方标准《大气污染物排放限值》（</t>
    </r>
    <r>
      <rPr>
        <sz val="10.5"/>
        <color theme="1"/>
        <rFont val="Times New Roman"/>
        <charset val="134"/>
      </rPr>
      <t>DB44/27-2001</t>
    </r>
    <r>
      <rPr>
        <sz val="10.5"/>
        <color theme="1"/>
        <rFont val="宋体"/>
        <charset val="134"/>
      </rPr>
      <t>）的第二时段二级标准排放标准，不会对周围的环境造成大的影响。</t>
    </r>
  </si>
  <si>
    <t>木加工</t>
  </si>
  <si>
    <t>木加工粉尘</t>
  </si>
  <si>
    <r>
      <rPr>
        <sz val="10.5"/>
        <color theme="1"/>
        <rFont val="宋体"/>
        <charset val="134"/>
      </rPr>
      <t>颗粒物排放执行《大气污染物排放限值》（</t>
    </r>
    <r>
      <rPr>
        <sz val="10.5"/>
        <color theme="1"/>
        <rFont val="Times New Roman"/>
        <charset val="134"/>
      </rPr>
      <t>DB44/27-2001</t>
    </r>
    <r>
      <rPr>
        <sz val="10.5"/>
        <color theme="1"/>
        <rFont val="宋体"/>
        <charset val="134"/>
      </rPr>
      <t>）中第二时段二级标准和无组织排放监控浓度限值：即1mg/m</t>
    </r>
    <r>
      <rPr>
        <vertAlign val="superscript"/>
        <sz val="10.5"/>
        <color theme="1"/>
        <rFont val="Times New Roman"/>
        <charset val="134"/>
      </rPr>
      <t>3</t>
    </r>
    <r>
      <rPr>
        <sz val="10.5"/>
        <color theme="1"/>
        <rFont val="宋体"/>
        <charset val="134"/>
      </rPr>
      <t>。</t>
    </r>
  </si>
  <si>
    <r>
      <rPr>
        <sz val="10.5"/>
        <color theme="1"/>
        <rFont val="Times New Roman"/>
        <charset val="134"/>
      </rPr>
      <t>项目木材开料、木加工、打磨过程中会产生少量木屑粉尘，污染因子为颗粒物。项目年加工木材料为</t>
    </r>
    <r>
      <rPr>
        <sz val="10.5"/>
        <color rgb="FFFF0000"/>
        <rFont val="Times New Roman"/>
        <charset val="134"/>
      </rPr>
      <t>101t</t>
    </r>
    <r>
      <rPr>
        <sz val="10.5"/>
        <color theme="1"/>
        <rFont val="宋体"/>
        <charset val="134"/>
      </rPr>
      <t>，小时最大木材加工量为</t>
    </r>
    <r>
      <rPr>
        <sz val="10.5"/>
        <color rgb="FFFF0000"/>
        <rFont val="Times New Roman"/>
        <charset val="134"/>
      </rPr>
      <t>56kg/h</t>
    </r>
    <r>
      <rPr>
        <sz val="10.5"/>
        <color theme="1"/>
        <rFont val="宋体"/>
        <charset val="134"/>
      </rPr>
      <t>。粉尘经过布袋除尘处理后无组织排放。参照美国环保局空气污染排放和控制手册，开料和木加工粉尘产生系数为</t>
    </r>
    <r>
      <rPr>
        <sz val="10.5"/>
        <color theme="1"/>
        <rFont val="Times New Roman"/>
        <charset val="134"/>
      </rPr>
      <t>0.175kg/t</t>
    </r>
    <r>
      <rPr>
        <sz val="10.5"/>
        <color theme="1"/>
        <rFont val="宋体"/>
        <charset val="134"/>
      </rPr>
      <t>木材，木工粉尘产生及计算情况见下表。</t>
    </r>
  </si>
  <si>
    <r>
      <rPr>
        <sz val="10.5"/>
        <rFont val="Times New Roman"/>
        <charset val="134"/>
      </rPr>
      <t>项目生产过程主要为木加工工序等，加工过程会产生少量粉尘。项目配套简易布袋除尘，粉尘经布袋除尘后无组织排放。处理后粉尘的排放量少。布料、海绵粉尘的粒径较大，容易沉降，不会飞扬，车间内无组织排放。运用估算模式面源模型计算，粉尘经处理后无组织厂界浓度小于</t>
    </r>
    <r>
      <rPr>
        <sz val="10.5"/>
        <color rgb="FFFF0000"/>
        <rFont val="Times New Roman"/>
        <charset val="134"/>
      </rPr>
      <t>0.0001mg/m</t>
    </r>
    <r>
      <rPr>
        <vertAlign val="superscript"/>
        <sz val="10.5"/>
        <color rgb="FFFF0000"/>
        <rFont val="Times New Roman"/>
        <charset val="134"/>
      </rPr>
      <t>3</t>
    </r>
    <r>
      <rPr>
        <sz val="10.5"/>
        <rFont val="宋体"/>
        <charset val="134"/>
      </rPr>
      <t>，可达到广东省地方标准《大气污染物排放限值》（</t>
    </r>
    <r>
      <rPr>
        <sz val="10.5"/>
        <rFont val="Times New Roman"/>
        <charset val="134"/>
      </rPr>
      <t>DB44/27-2001</t>
    </r>
    <r>
      <rPr>
        <sz val="10.5"/>
        <rFont val="宋体"/>
        <charset val="134"/>
      </rPr>
      <t>）中的颗粒物无组织排放监控浓度限值（浓度为</t>
    </r>
    <r>
      <rPr>
        <sz val="10.5"/>
        <rFont val="Times New Roman"/>
        <charset val="134"/>
      </rPr>
      <t>1.0mg/m</t>
    </r>
    <r>
      <rPr>
        <vertAlign val="superscript"/>
        <sz val="10.5"/>
        <rFont val="Times New Roman"/>
        <charset val="134"/>
      </rPr>
      <t>3</t>
    </r>
    <r>
      <rPr>
        <sz val="10.5"/>
        <rFont val="宋体"/>
        <charset val="134"/>
      </rPr>
      <t>），对周围环境影响不明显。项目应定期清理布袋粉尘和更换布袋，减少除尘器的粉尘量，定期检查车间通风和排气系统保证车间内空气通畅，给员工发放必要的劳保用品，以保护员工的身体健康。</t>
    </r>
  </si>
  <si>
    <t>简易布袋除尘器</t>
  </si>
  <si>
    <t>板</t>
  </si>
  <si>
    <t>开料</t>
  </si>
  <si>
    <t>刨</t>
  </si>
  <si>
    <t>砂</t>
  </si>
  <si>
    <t>磨</t>
  </si>
  <si>
    <t>油墨</t>
  </si>
  <si>
    <t>印</t>
  </si>
  <si>
    <t>印刷</t>
  </si>
  <si>
    <t>印刷有机废气（水性油墨）</t>
  </si>
  <si>
    <r>
      <rPr>
        <sz val="10.5"/>
        <color rgb="FFFF0000"/>
        <rFont val="Times New Roman"/>
        <charset val="134"/>
      </rPr>
      <t>本项目印刷采用橡胶版，为凸版印刷，</t>
    </r>
    <r>
      <rPr>
        <sz val="10.5"/>
        <color theme="1"/>
        <rFont val="宋体"/>
        <charset val="134"/>
      </rPr>
      <t>印刷有机废气执行广东省地方标准《印刷行业挥发性有机化合物排放标准》（</t>
    </r>
    <r>
      <rPr>
        <sz val="10.5"/>
        <color theme="1"/>
        <rFont val="Times New Roman"/>
        <charset val="134"/>
      </rPr>
      <t>DB44/815-2010</t>
    </r>
    <r>
      <rPr>
        <sz val="10.5"/>
        <color theme="1"/>
        <rFont val="宋体"/>
        <charset val="134"/>
      </rPr>
      <t>）排气筒</t>
    </r>
    <r>
      <rPr>
        <sz val="10.5"/>
        <color theme="1"/>
        <rFont val="Times New Roman"/>
        <charset val="134"/>
      </rPr>
      <t>VOCs</t>
    </r>
    <r>
      <rPr>
        <sz val="10.5"/>
        <color theme="1"/>
        <rFont val="宋体"/>
        <charset val="134"/>
      </rPr>
      <t>排放限值中</t>
    </r>
    <r>
      <rPr>
        <sz val="10.5"/>
        <color theme="1"/>
        <rFont val="Times New Roman"/>
        <charset val="134"/>
      </rPr>
      <t>II</t>
    </r>
    <r>
      <rPr>
        <sz val="10.5"/>
        <color theme="1"/>
        <rFont val="宋体"/>
        <charset val="134"/>
      </rPr>
      <t>时段凸版印刷标准。（凸版印刷油墨</t>
    </r>
    <r>
      <rPr>
        <sz val="10.5"/>
        <color theme="1"/>
        <rFont val="Times New Roman"/>
        <charset val="134"/>
      </rPr>
      <t>VOCs</t>
    </r>
    <r>
      <rPr>
        <sz val="10.5"/>
        <color theme="1"/>
        <rFont val="宋体"/>
        <charset val="134"/>
      </rPr>
      <t>含量的最高限值</t>
    </r>
    <r>
      <rPr>
        <sz val="10.5"/>
        <color theme="1"/>
        <rFont val="Times New Roman"/>
        <charset val="134"/>
      </rPr>
      <t>300g/L</t>
    </r>
    <r>
      <rPr>
        <sz val="10.5"/>
        <color theme="1"/>
        <rFont val="宋体"/>
        <charset val="134"/>
      </rPr>
      <t>）。</t>
    </r>
  </si>
  <si>
    <r>
      <rPr>
        <sz val="10.5"/>
        <color theme="1"/>
        <rFont val="Times New Roman"/>
        <charset val="134"/>
      </rPr>
      <t>本项目有印刷机</t>
    </r>
    <r>
      <rPr>
        <sz val="10.5"/>
        <color rgb="FFFF0000"/>
        <rFont val="Times New Roman"/>
        <charset val="134"/>
      </rPr>
      <t>1</t>
    </r>
    <r>
      <rPr>
        <sz val="10.5"/>
        <color rgb="FFFF0000"/>
        <rFont val="宋体"/>
        <charset val="134"/>
      </rPr>
      <t>台</t>
    </r>
    <r>
      <rPr>
        <sz val="10.5"/>
        <color theme="1"/>
        <rFont val="宋体"/>
        <charset val="134"/>
      </rPr>
      <t>，使用水性油墨对纸板进行印刷，印刷过程会产生有机废气，其污染物因子主要是总</t>
    </r>
    <r>
      <rPr>
        <sz val="10.5"/>
        <color theme="1"/>
        <rFont val="Times New Roman"/>
        <charset val="134"/>
      </rPr>
      <t>VOCs</t>
    </r>
    <r>
      <rPr>
        <sz val="10.5"/>
        <color theme="1"/>
        <rFont val="宋体"/>
        <charset val="134"/>
      </rPr>
      <t>。</t>
    </r>
    <r>
      <rPr>
        <sz val="10.5"/>
        <color rgb="FFFF0000"/>
        <rFont val="宋体"/>
        <charset val="134"/>
      </rPr>
      <t>根据《佛山市工业污染源挥发性有机化合物（</t>
    </r>
    <r>
      <rPr>
        <sz val="10.5"/>
        <color rgb="FFFF0000"/>
        <rFont val="Times New Roman"/>
        <charset val="134"/>
      </rPr>
      <t>VOCs</t>
    </r>
    <r>
      <rPr>
        <sz val="10.5"/>
        <color rgb="FFFF0000"/>
        <rFont val="宋体"/>
        <charset val="134"/>
      </rPr>
      <t>）排放与治理现状研究》的成果，水性油墨的总</t>
    </r>
    <r>
      <rPr>
        <sz val="10.5"/>
        <color rgb="FFFF0000"/>
        <rFont val="Times New Roman"/>
        <charset val="134"/>
      </rPr>
      <t>VOCs</t>
    </r>
    <r>
      <rPr>
        <sz val="10.5"/>
        <color rgb="FFFF0000"/>
        <rFont val="宋体"/>
        <charset val="134"/>
      </rPr>
      <t>挥发系数为</t>
    </r>
    <r>
      <rPr>
        <sz val="10.5"/>
        <color rgb="FFFF0000"/>
        <rFont val="Times New Roman"/>
        <charset val="134"/>
      </rPr>
      <t>0.05</t>
    </r>
    <r>
      <rPr>
        <sz val="10.5"/>
        <color theme="1"/>
        <rFont val="宋体"/>
        <charset val="134"/>
      </rPr>
      <t>。根据厂方提供的资料，按印刷工序每天工作</t>
    </r>
    <r>
      <rPr>
        <sz val="10.5"/>
        <color rgb="FFFF0000"/>
        <rFont val="Times New Roman"/>
        <charset val="134"/>
      </rPr>
      <t>4</t>
    </r>
    <r>
      <rPr>
        <sz val="10.5"/>
        <color rgb="FFFF0000"/>
        <rFont val="宋体"/>
        <charset val="134"/>
      </rPr>
      <t>小时</t>
    </r>
    <r>
      <rPr>
        <sz val="10.5"/>
        <color theme="1"/>
        <rFont val="宋体"/>
        <charset val="134"/>
      </rPr>
      <t>计算，则项目水性油墨的最大使用量为</t>
    </r>
    <r>
      <rPr>
        <sz val="10.5"/>
        <color rgb="FFFF0000"/>
        <rFont val="Times New Roman"/>
        <charset val="134"/>
      </rPr>
      <t>2.01kg/h</t>
    </r>
    <r>
      <rPr>
        <sz val="10.5"/>
        <color theme="1"/>
        <rFont val="宋体"/>
        <charset val="134"/>
      </rPr>
      <t>，则总</t>
    </r>
    <r>
      <rPr>
        <sz val="10.5"/>
        <color theme="1"/>
        <rFont val="Times New Roman"/>
        <charset val="134"/>
      </rPr>
      <t>VOCs</t>
    </r>
    <r>
      <rPr>
        <sz val="10.5"/>
        <color theme="1"/>
        <rFont val="宋体"/>
        <charset val="134"/>
      </rPr>
      <t>的产生速率为</t>
    </r>
    <r>
      <rPr>
        <sz val="10.5"/>
        <color rgb="FFFF0000"/>
        <rFont val="Times New Roman"/>
        <charset val="134"/>
      </rPr>
      <t>0.1kg/h</t>
    </r>
    <r>
      <rPr>
        <sz val="10.5"/>
        <color theme="1"/>
        <rFont val="宋体"/>
        <charset val="134"/>
      </rPr>
      <t>。项目水性油墨的总用量约为</t>
    </r>
    <r>
      <rPr>
        <sz val="10.5"/>
        <color theme="1"/>
        <rFont val="Times New Roman"/>
        <charset val="134"/>
      </rPr>
      <t>2.1t/a</t>
    </r>
    <r>
      <rPr>
        <sz val="10.5"/>
        <color theme="1"/>
        <rFont val="宋体"/>
        <charset val="134"/>
      </rPr>
      <t>，则总</t>
    </r>
    <r>
      <rPr>
        <sz val="10.5"/>
        <color theme="1"/>
        <rFont val="Times New Roman"/>
        <charset val="134"/>
      </rPr>
      <t>VOCs</t>
    </r>
    <r>
      <rPr>
        <sz val="10.5"/>
        <color theme="1"/>
        <rFont val="宋体"/>
        <charset val="134"/>
      </rPr>
      <t>的产生量约为</t>
    </r>
    <r>
      <rPr>
        <sz val="10.5"/>
        <color rgb="FFFF0000"/>
        <rFont val="Times New Roman"/>
        <charset val="134"/>
      </rPr>
      <t>0.105t/a</t>
    </r>
    <r>
      <rPr>
        <sz val="10.5"/>
        <color theme="1"/>
        <rFont val="宋体"/>
        <charset val="134"/>
      </rPr>
      <t>。建议项目对印刷工序产生的有机废气进行收集，废气经收集后通过一个</t>
    </r>
    <r>
      <rPr>
        <sz val="10.5"/>
        <color theme="1"/>
        <rFont val="Times New Roman"/>
        <charset val="134"/>
      </rPr>
      <t>15</t>
    </r>
    <r>
      <rPr>
        <sz val="10.5"/>
        <color theme="1"/>
        <rFont val="宋体"/>
        <charset val="134"/>
      </rPr>
      <t>米高的排气筒排放，建议风量为</t>
    </r>
    <r>
      <rPr>
        <sz val="10.5"/>
        <color rgb="FFFF0000"/>
        <rFont val="Times New Roman"/>
        <charset val="134"/>
      </rPr>
      <t>5000m</t>
    </r>
    <r>
      <rPr>
        <vertAlign val="superscript"/>
        <sz val="10.5"/>
        <color rgb="FFFF0000"/>
        <rFont val="Times New Roman"/>
        <charset val="134"/>
      </rPr>
      <t>3</t>
    </r>
    <r>
      <rPr>
        <sz val="10.5"/>
        <color rgb="FFFF0000"/>
        <rFont val="Times New Roman"/>
        <charset val="134"/>
      </rPr>
      <t>/h</t>
    </r>
    <r>
      <rPr>
        <sz val="10.5"/>
        <color theme="1"/>
        <rFont val="宋体"/>
        <charset val="134"/>
      </rPr>
      <t>。项目集气效率约为</t>
    </r>
    <r>
      <rPr>
        <sz val="10.5"/>
        <color rgb="FFFF0000"/>
        <rFont val="Times New Roman"/>
        <charset val="134"/>
      </rPr>
      <t>90</t>
    </r>
    <r>
      <rPr>
        <sz val="10.5"/>
        <color rgb="FFFF0000"/>
        <rFont val="宋体"/>
        <charset val="134"/>
      </rPr>
      <t>％</t>
    </r>
    <r>
      <rPr>
        <sz val="10.5"/>
        <color theme="1"/>
        <rFont val="宋体"/>
        <charset val="134"/>
      </rPr>
      <t>，未收集的废气通过车间无组织排放到外界。运用导则推荐的面源估算模型进行计算分析。将生产车间为总</t>
    </r>
    <r>
      <rPr>
        <sz val="10.5"/>
        <color theme="1"/>
        <rFont val="Times New Roman"/>
        <charset val="134"/>
      </rPr>
      <t>VOCs</t>
    </r>
    <r>
      <rPr>
        <sz val="10.5"/>
        <color theme="1"/>
        <rFont val="宋体"/>
        <charset val="134"/>
      </rPr>
      <t>无组织排放区域，面积为</t>
    </r>
    <r>
      <rPr>
        <sz val="10.5"/>
        <color rgb="FFFF0000"/>
        <rFont val="Times New Roman"/>
        <charset val="134"/>
      </rPr>
      <t>1100m</t>
    </r>
    <r>
      <rPr>
        <vertAlign val="superscript"/>
        <sz val="10.5"/>
        <color rgb="FFFF0000"/>
        <rFont val="Times New Roman"/>
        <charset val="134"/>
      </rPr>
      <t>2</t>
    </r>
    <r>
      <rPr>
        <sz val="10.5"/>
        <color theme="1"/>
        <rFont val="宋体"/>
        <charset val="134"/>
      </rPr>
      <t>，高度约</t>
    </r>
    <r>
      <rPr>
        <sz val="10.5"/>
        <color rgb="FFFF0000"/>
        <rFont val="Times New Roman"/>
        <charset val="134"/>
      </rPr>
      <t>5m</t>
    </r>
    <r>
      <rPr>
        <sz val="10.5"/>
        <color theme="1"/>
        <rFont val="宋体"/>
        <charset val="134"/>
      </rPr>
      <t>。则项目总</t>
    </r>
    <r>
      <rPr>
        <sz val="10.5"/>
        <color theme="1"/>
        <rFont val="Times New Roman"/>
        <charset val="134"/>
      </rPr>
      <t>VOCs</t>
    </r>
    <r>
      <rPr>
        <sz val="10.5"/>
        <color theme="1"/>
        <rFont val="宋体"/>
        <charset val="134"/>
      </rPr>
      <t>产生排放情况见下表：</t>
    </r>
  </si>
  <si>
    <r>
      <rPr>
        <sz val="10.5"/>
        <color theme="1"/>
        <rFont val="Times New Roman"/>
        <charset val="134"/>
      </rPr>
      <t>项目印刷过程会产生有机废气，其污染因子主要是总VOCs</t>
    </r>
    <r>
      <rPr>
        <sz val="10.5"/>
        <color theme="1"/>
        <rFont val="宋体"/>
        <charset val="134"/>
      </rPr>
      <t>。项目拟对印刷废气进行收集，有机废气经收集后通过一个不低于</t>
    </r>
    <r>
      <rPr>
        <sz val="10.5"/>
        <color theme="1"/>
        <rFont val="Times New Roman"/>
        <charset val="134"/>
      </rPr>
      <t>15</t>
    </r>
    <r>
      <rPr>
        <sz val="10.5"/>
        <color theme="1"/>
        <rFont val="宋体"/>
        <charset val="134"/>
      </rPr>
      <t>米高的排气筒排放，其中废气收集效率达到</t>
    </r>
    <r>
      <rPr>
        <sz val="10.5"/>
        <color theme="1"/>
        <rFont val="Times New Roman"/>
        <charset val="134"/>
      </rPr>
      <t>90</t>
    </r>
    <r>
      <rPr>
        <sz val="10.5"/>
        <color theme="1"/>
        <rFont val="宋体"/>
        <charset val="134"/>
      </rPr>
      <t>％。</t>
    </r>
    <r>
      <rPr>
        <sz val="10.5"/>
        <color theme="1"/>
        <rFont val="Times New Roman"/>
        <charset val="134"/>
      </rPr>
      <t xml:space="preserve">
</t>
    </r>
    <r>
      <rPr>
        <sz val="10.5"/>
        <color theme="1"/>
        <rFont val="宋体"/>
        <charset val="134"/>
      </rPr>
      <t>根据污染源强分析章节计算可知，项目的印刷工序产生的总</t>
    </r>
    <r>
      <rPr>
        <sz val="10.5"/>
        <color theme="1"/>
        <rFont val="Times New Roman"/>
        <charset val="134"/>
      </rPr>
      <t>VOCs</t>
    </r>
    <r>
      <rPr>
        <sz val="10.5"/>
        <color theme="1"/>
        <rFont val="宋体"/>
        <charset val="134"/>
      </rPr>
      <t>有组织排放速率为</t>
    </r>
    <r>
      <rPr>
        <sz val="10.5"/>
        <color rgb="FFFF0000"/>
        <rFont val="Times New Roman"/>
        <charset val="134"/>
      </rPr>
      <t>0.091kg/h</t>
    </r>
    <r>
      <rPr>
        <sz val="10.5"/>
        <color theme="1"/>
        <rFont val="宋体"/>
        <charset val="134"/>
      </rPr>
      <t>，有组织排放浓度为</t>
    </r>
    <r>
      <rPr>
        <sz val="10.5"/>
        <color rgb="FFFF0000"/>
        <rFont val="Times New Roman"/>
        <charset val="134"/>
      </rPr>
      <t>18.17mg/m</t>
    </r>
    <r>
      <rPr>
        <vertAlign val="superscript"/>
        <sz val="10.5"/>
        <color rgb="FFFF0000"/>
        <rFont val="Times New Roman"/>
        <charset val="134"/>
      </rPr>
      <t>3</t>
    </r>
    <r>
      <rPr>
        <sz val="10.5"/>
        <color theme="1"/>
        <rFont val="宋体"/>
        <charset val="134"/>
      </rPr>
      <t>，无组织排放</t>
    </r>
    <r>
      <rPr>
        <sz val="10.5"/>
        <color theme="1"/>
        <rFont val="Times New Roman"/>
        <charset val="134"/>
      </rPr>
      <t xml:space="preserve"> </t>
    </r>
    <r>
      <rPr>
        <sz val="10.5"/>
        <color theme="1"/>
        <rFont val="宋体"/>
        <charset val="134"/>
      </rPr>
      <t>厂界浓度为</t>
    </r>
    <r>
      <rPr>
        <sz val="10.5"/>
        <color rgb="FFFF0000"/>
        <rFont val="Times New Roman"/>
        <charset val="134"/>
      </rPr>
      <t>2.6×10-5mg/m</t>
    </r>
    <r>
      <rPr>
        <vertAlign val="superscript"/>
        <sz val="10.5"/>
        <color rgb="FFFF0000"/>
        <rFont val="Times New Roman"/>
        <charset val="134"/>
      </rPr>
      <t>3</t>
    </r>
    <r>
      <rPr>
        <sz val="10.5"/>
        <color theme="1"/>
        <rFont val="宋体"/>
        <charset val="134"/>
      </rPr>
      <t>，均低于广东省地方标准《印刷行业挥发性有机化合物排放标准》（</t>
    </r>
    <r>
      <rPr>
        <sz val="10.5"/>
        <color theme="1"/>
        <rFont val="Times New Roman"/>
        <charset val="134"/>
      </rPr>
      <t>DB44/815-2010</t>
    </r>
    <r>
      <rPr>
        <sz val="10.5"/>
        <color theme="1"/>
        <rFont val="宋体"/>
        <charset val="134"/>
      </rPr>
      <t>）排气筒</t>
    </r>
    <r>
      <rPr>
        <sz val="10.5"/>
        <color theme="1"/>
        <rFont val="Times New Roman"/>
        <charset val="134"/>
      </rPr>
      <t>VOCs</t>
    </r>
    <r>
      <rPr>
        <sz val="10.5"/>
        <color theme="1"/>
        <rFont val="宋体"/>
        <charset val="134"/>
      </rPr>
      <t>排放限值（</t>
    </r>
    <r>
      <rPr>
        <sz val="10.5"/>
        <color theme="1"/>
        <rFont val="Times New Roman"/>
        <charset val="134"/>
      </rPr>
      <t>II</t>
    </r>
    <r>
      <rPr>
        <sz val="10.5"/>
        <color theme="1"/>
        <rFont val="宋体"/>
        <charset val="134"/>
      </rPr>
      <t>时段凸版印刷：最高允许排放浓度：总</t>
    </r>
    <r>
      <rPr>
        <sz val="10.5"/>
        <color theme="1"/>
        <rFont val="Times New Roman"/>
        <charset val="134"/>
      </rPr>
      <t>VOCs≤120mg/m</t>
    </r>
    <r>
      <rPr>
        <vertAlign val="superscript"/>
        <sz val="10.5"/>
        <color theme="1"/>
        <rFont val="Times New Roman"/>
        <charset val="134"/>
      </rPr>
      <t>3</t>
    </r>
    <r>
      <rPr>
        <sz val="10.5"/>
        <color theme="1"/>
        <rFont val="宋体"/>
        <charset val="134"/>
      </rPr>
      <t>；最高允许排放速率：总</t>
    </r>
    <r>
      <rPr>
        <sz val="10.5"/>
        <color theme="1"/>
        <rFont val="Times New Roman"/>
        <charset val="134"/>
      </rPr>
      <t>VOCs≤5.1kg/h</t>
    </r>
    <r>
      <rPr>
        <sz val="10.5"/>
        <color theme="1"/>
        <rFont val="宋体"/>
        <charset val="134"/>
      </rPr>
      <t>；无组织排放监控点浓度限值：总</t>
    </r>
    <r>
      <rPr>
        <sz val="10.5"/>
        <color theme="1"/>
        <rFont val="Times New Roman"/>
        <charset val="134"/>
      </rPr>
      <t>VOCs≤2.0mg/m</t>
    </r>
    <r>
      <rPr>
        <vertAlign val="superscript"/>
        <sz val="10.5"/>
        <color theme="1"/>
        <rFont val="Times New Roman"/>
        <charset val="134"/>
      </rPr>
      <t>3</t>
    </r>
    <r>
      <rPr>
        <sz val="10.5"/>
        <color theme="1"/>
        <rFont val="宋体"/>
        <charset val="134"/>
      </rPr>
      <t>），对周围环境影响不明显。</t>
    </r>
    <r>
      <rPr>
        <sz val="10.5"/>
        <color theme="1"/>
        <rFont val="Times New Roman"/>
        <charset val="134"/>
      </rPr>
      <t xml:space="preserve">
</t>
    </r>
  </si>
  <si>
    <r>
      <rPr>
        <sz val="10.5"/>
        <color theme="1"/>
        <rFont val="Times New Roman"/>
        <charset val="134"/>
      </rPr>
      <t>废气收集后通过不低于15</t>
    </r>
    <r>
      <rPr>
        <sz val="10.5"/>
        <color theme="1"/>
        <rFont val="宋体"/>
        <charset val="134"/>
      </rPr>
      <t>米的排气筒排放</t>
    </r>
  </si>
  <si>
    <t>涂布</t>
  </si>
  <si>
    <t>涂布有机废气（水性油墨）</t>
  </si>
  <si>
    <r>
      <rPr>
        <b/>
        <sz val="10.5"/>
        <color theme="1"/>
        <rFont val="宋体"/>
        <charset val="134"/>
      </rPr>
      <t>印刷有机废气（水性油墨</t>
    </r>
    <r>
      <rPr>
        <b/>
        <sz val="10.5"/>
        <color theme="1"/>
        <rFont val="Times New Roman"/>
        <charset val="134"/>
      </rPr>
      <t>+</t>
    </r>
    <r>
      <rPr>
        <b/>
        <sz val="10.5"/>
        <color theme="1"/>
        <rFont val="宋体"/>
        <charset val="134"/>
      </rPr>
      <t>油性油墨）</t>
    </r>
  </si>
  <si>
    <r>
      <rPr>
        <sz val="10.5"/>
        <color rgb="FFFF0000"/>
        <rFont val="宋体"/>
        <charset val="134"/>
      </rPr>
      <t>本项目印刷为纸板印刷，印刷有机废气执行广东省地方标准《印刷行业挥发性有机化合物排放标准》（</t>
    </r>
    <r>
      <rPr>
        <sz val="10.5"/>
        <color rgb="FFFF0000"/>
        <rFont val="Times New Roman"/>
        <charset val="134"/>
      </rPr>
      <t>DB44/815-2010</t>
    </r>
    <r>
      <rPr>
        <sz val="10.5"/>
        <color rgb="FFFF0000"/>
        <rFont val="宋体"/>
        <charset val="134"/>
      </rPr>
      <t>）排气筒</t>
    </r>
    <r>
      <rPr>
        <sz val="10.5"/>
        <color rgb="FFFF0000"/>
        <rFont val="Times New Roman"/>
        <charset val="134"/>
      </rPr>
      <t>VOCs</t>
    </r>
    <r>
      <rPr>
        <sz val="10.5"/>
        <color rgb="FFFF0000"/>
        <rFont val="宋体"/>
        <charset val="134"/>
      </rPr>
      <t>排放限值中</t>
    </r>
    <r>
      <rPr>
        <sz val="10.5"/>
        <color rgb="FFFF0000"/>
        <rFont val="Times New Roman"/>
        <charset val="134"/>
      </rPr>
      <t>II</t>
    </r>
    <r>
      <rPr>
        <sz val="10.5"/>
        <color rgb="FFFF0000"/>
        <rFont val="宋体"/>
        <charset val="134"/>
      </rPr>
      <t>时段凹版印刷标准。</t>
    </r>
  </si>
  <si>
    <t>自填</t>
  </si>
  <si>
    <r>
      <rPr>
        <sz val="10.5"/>
        <color theme="1"/>
        <rFont val="Times New Roman"/>
        <charset val="134"/>
      </rPr>
      <t>等离子+</t>
    </r>
    <r>
      <rPr>
        <sz val="10.5"/>
        <color theme="1"/>
        <rFont val="宋体"/>
        <charset val="134"/>
      </rPr>
      <t>活性炭</t>
    </r>
  </si>
  <si>
    <r>
      <rPr>
        <sz val="10.5"/>
        <color theme="1"/>
        <rFont val="Times New Roman"/>
        <charset val="134"/>
      </rPr>
      <t>本项目有印刷机2</t>
    </r>
    <r>
      <rPr>
        <sz val="10.5"/>
        <color rgb="FFFF0000"/>
        <rFont val="宋体"/>
        <charset val="134"/>
      </rPr>
      <t>台</t>
    </r>
    <r>
      <rPr>
        <sz val="10.5"/>
        <color theme="1"/>
        <rFont val="宋体"/>
        <charset val="134"/>
      </rPr>
      <t>，根据产品的需要，项目分别使用水性油墨和油性油墨对纸板进行印刷，印刷过程会产生有机废气，其污染物因子主要是总</t>
    </r>
    <r>
      <rPr>
        <sz val="10.5"/>
        <color theme="1"/>
        <rFont val="Times New Roman"/>
        <charset val="134"/>
      </rPr>
      <t>VOCs</t>
    </r>
    <r>
      <rPr>
        <sz val="10.5"/>
        <color theme="1"/>
        <rFont val="宋体"/>
        <charset val="134"/>
      </rPr>
      <t>。根据厂方提供的资料，水性油墨使用量为</t>
    </r>
    <r>
      <rPr>
        <sz val="10.5"/>
        <color theme="1"/>
        <rFont val="Times New Roman"/>
        <charset val="134"/>
      </rPr>
      <t>XX</t>
    </r>
    <r>
      <rPr>
        <sz val="10.5"/>
        <color theme="1"/>
        <rFont val="宋体"/>
        <charset val="134"/>
      </rPr>
      <t>吨，根据《佛山市工业污染源挥发性有机化合物（</t>
    </r>
    <r>
      <rPr>
        <sz val="10.5"/>
        <color theme="1"/>
        <rFont val="Times New Roman"/>
        <charset val="134"/>
      </rPr>
      <t>VOCs</t>
    </r>
    <r>
      <rPr>
        <sz val="10.5"/>
        <color theme="1"/>
        <rFont val="宋体"/>
        <charset val="134"/>
      </rPr>
      <t>）排放与治理现状研究》的成果，水性油墨的总</t>
    </r>
    <r>
      <rPr>
        <sz val="10.5"/>
        <color theme="1"/>
        <rFont val="Times New Roman"/>
        <charset val="134"/>
      </rPr>
      <t>VOCs</t>
    </r>
    <r>
      <rPr>
        <sz val="10.5"/>
        <color theme="1"/>
        <rFont val="宋体"/>
        <charset val="134"/>
      </rPr>
      <t>挥发系数为</t>
    </r>
    <r>
      <rPr>
        <sz val="10.5"/>
        <color theme="1"/>
        <rFont val="Times New Roman"/>
        <charset val="134"/>
      </rPr>
      <t>0.05</t>
    </r>
    <r>
      <rPr>
        <sz val="10.5"/>
        <color theme="1"/>
        <rFont val="宋体"/>
        <charset val="134"/>
      </rPr>
      <t>；油性油墨使用量为</t>
    </r>
    <r>
      <rPr>
        <sz val="10.5"/>
        <color theme="1"/>
        <rFont val="Times New Roman"/>
        <charset val="134"/>
      </rPr>
      <t>xx</t>
    </r>
    <r>
      <rPr>
        <sz val="10.5"/>
        <color theme="1"/>
        <rFont val="宋体"/>
        <charset val="134"/>
      </rPr>
      <t>吨，根据油性油墨和稀释剂的</t>
    </r>
    <r>
      <rPr>
        <sz val="10.5"/>
        <color theme="1"/>
        <rFont val="Times New Roman"/>
        <charset val="134"/>
      </rPr>
      <t>MSDS</t>
    </r>
    <r>
      <rPr>
        <sz val="10.5"/>
        <color theme="1"/>
        <rFont val="宋体"/>
        <charset val="134"/>
      </rPr>
      <t>，可知油性油墨油墨的总</t>
    </r>
    <r>
      <rPr>
        <sz val="10.5"/>
        <color theme="1"/>
        <rFont val="Times New Roman"/>
        <charset val="134"/>
      </rPr>
      <t>VOCs</t>
    </r>
    <r>
      <rPr>
        <sz val="10.5"/>
        <color theme="1"/>
        <rFont val="宋体"/>
        <charset val="134"/>
      </rPr>
      <t>挥发系数为</t>
    </r>
    <r>
      <rPr>
        <sz val="10.5"/>
        <color theme="1"/>
        <rFont val="Times New Roman"/>
        <charset val="134"/>
      </rPr>
      <t>0.5</t>
    </r>
    <r>
      <rPr>
        <sz val="10.5"/>
        <color theme="1"/>
        <rFont val="宋体"/>
        <charset val="134"/>
      </rPr>
      <t>，稀释剂使用量为</t>
    </r>
    <r>
      <rPr>
        <sz val="10.5"/>
        <color theme="1"/>
        <rFont val="Times New Roman"/>
        <charset val="134"/>
      </rPr>
      <t>XX</t>
    </r>
    <r>
      <rPr>
        <sz val="10.5"/>
        <color theme="1"/>
        <rFont val="宋体"/>
        <charset val="134"/>
      </rPr>
      <t>吨，挥发系数按</t>
    </r>
    <r>
      <rPr>
        <sz val="10.5"/>
        <color theme="1"/>
        <rFont val="Times New Roman"/>
        <charset val="134"/>
      </rPr>
      <t>100%</t>
    </r>
    <r>
      <rPr>
        <sz val="10.5"/>
        <color theme="1"/>
        <rFont val="宋体"/>
        <charset val="134"/>
      </rPr>
      <t>计算。按印刷工序每天工作</t>
    </r>
    <r>
      <rPr>
        <sz val="10.5"/>
        <color rgb="FFFF0000"/>
        <rFont val="Times New Roman"/>
        <charset val="134"/>
      </rPr>
      <t>4</t>
    </r>
    <r>
      <rPr>
        <sz val="10.5"/>
        <color rgb="FFFF0000"/>
        <rFont val="宋体"/>
        <charset val="134"/>
      </rPr>
      <t>小时</t>
    </r>
    <r>
      <rPr>
        <sz val="10.5"/>
        <color theme="1"/>
        <rFont val="宋体"/>
        <charset val="134"/>
      </rPr>
      <t>计算，则水性油墨和油性油墨总</t>
    </r>
    <r>
      <rPr>
        <sz val="10.5"/>
        <color theme="1"/>
        <rFont val="Times New Roman"/>
        <charset val="134"/>
      </rPr>
      <t>VOCs</t>
    </r>
    <r>
      <rPr>
        <sz val="10.5"/>
        <color theme="1"/>
        <rFont val="宋体"/>
        <charset val="134"/>
      </rPr>
      <t>的产生量约为</t>
    </r>
    <r>
      <rPr>
        <sz val="10.5"/>
        <color rgb="FFFF0000"/>
        <rFont val="Times New Roman"/>
        <charset val="134"/>
      </rPr>
      <t>0.105t/a</t>
    </r>
    <r>
      <rPr>
        <sz val="10.5"/>
        <color theme="1"/>
        <rFont val="宋体"/>
        <charset val="134"/>
      </rPr>
      <t>。建议项目对印刷工序产生的有机废气进行收集，废气经</t>
    </r>
    <r>
      <rPr>
        <sz val="10.5"/>
        <color rgb="FFFF0000"/>
        <rFont val="Times New Roman"/>
        <charset val="134"/>
      </rPr>
      <t>“</t>
    </r>
    <r>
      <rPr>
        <sz val="10.5"/>
        <color rgb="FFFF0000"/>
        <rFont val="宋体"/>
        <charset val="134"/>
      </rPr>
      <t>等离子</t>
    </r>
    <r>
      <rPr>
        <sz val="10.5"/>
        <color rgb="FFFF0000"/>
        <rFont val="Times New Roman"/>
        <charset val="134"/>
      </rPr>
      <t>+</t>
    </r>
    <r>
      <rPr>
        <sz val="10.5"/>
        <color rgb="FFFF0000"/>
        <rFont val="宋体"/>
        <charset val="134"/>
      </rPr>
      <t>活性炭</t>
    </r>
    <r>
      <rPr>
        <sz val="10.5"/>
        <color rgb="FFFF0000"/>
        <rFont val="Times New Roman"/>
        <charset val="134"/>
      </rPr>
      <t>”</t>
    </r>
    <r>
      <rPr>
        <sz val="10.5"/>
        <color theme="1"/>
        <rFont val="宋体"/>
        <charset val="134"/>
      </rPr>
      <t>处理后通过一个</t>
    </r>
    <r>
      <rPr>
        <sz val="10.5"/>
        <color theme="1"/>
        <rFont val="Times New Roman"/>
        <charset val="134"/>
      </rPr>
      <t>15</t>
    </r>
    <r>
      <rPr>
        <sz val="10.5"/>
        <color theme="1"/>
        <rFont val="宋体"/>
        <charset val="134"/>
      </rPr>
      <t>米高的排气筒排放，建议风量为</t>
    </r>
    <r>
      <rPr>
        <sz val="10.5"/>
        <color rgb="FFFF0000"/>
        <rFont val="Times New Roman"/>
        <charset val="134"/>
      </rPr>
      <t>10000m</t>
    </r>
    <r>
      <rPr>
        <vertAlign val="superscript"/>
        <sz val="10.5"/>
        <color rgb="FFFF0000"/>
        <rFont val="Times New Roman"/>
        <charset val="134"/>
      </rPr>
      <t>3</t>
    </r>
    <r>
      <rPr>
        <sz val="10.5"/>
        <color rgb="FFFF0000"/>
        <rFont val="Times New Roman"/>
        <charset val="134"/>
      </rPr>
      <t>/h</t>
    </r>
    <r>
      <rPr>
        <sz val="10.5"/>
        <color theme="1"/>
        <rFont val="宋体"/>
        <charset val="134"/>
      </rPr>
      <t>。项目集气效率约为</t>
    </r>
    <r>
      <rPr>
        <sz val="10.5"/>
        <color rgb="FFFF0000"/>
        <rFont val="Times New Roman"/>
        <charset val="134"/>
      </rPr>
      <t>90</t>
    </r>
    <r>
      <rPr>
        <sz val="10.5"/>
        <color rgb="FFFF0000"/>
        <rFont val="宋体"/>
        <charset val="134"/>
      </rPr>
      <t>％</t>
    </r>
    <r>
      <rPr>
        <sz val="10.5"/>
        <color theme="1"/>
        <rFont val="宋体"/>
        <charset val="134"/>
      </rPr>
      <t>，未收集的废气通过车间无组织排放到外界。运用导则推荐的面源估算模型进行计算分析。将生产车间为总</t>
    </r>
    <r>
      <rPr>
        <sz val="10.5"/>
        <color theme="1"/>
        <rFont val="Times New Roman"/>
        <charset val="134"/>
      </rPr>
      <t>VOCs</t>
    </r>
    <r>
      <rPr>
        <sz val="10.5"/>
        <color theme="1"/>
        <rFont val="宋体"/>
        <charset val="134"/>
      </rPr>
      <t>无组织排放区域，面积为</t>
    </r>
    <r>
      <rPr>
        <sz val="10.5"/>
        <color rgb="FFFF0000"/>
        <rFont val="Times New Roman"/>
        <charset val="134"/>
      </rPr>
      <t>1100m</t>
    </r>
    <r>
      <rPr>
        <vertAlign val="superscript"/>
        <sz val="10.5"/>
        <color rgb="FFFF0000"/>
        <rFont val="Times New Roman"/>
        <charset val="134"/>
      </rPr>
      <t>2</t>
    </r>
    <r>
      <rPr>
        <sz val="10.5"/>
        <color theme="1"/>
        <rFont val="宋体"/>
        <charset val="134"/>
      </rPr>
      <t>，高度约</t>
    </r>
    <r>
      <rPr>
        <sz val="10.5"/>
        <color rgb="FFFF0000"/>
        <rFont val="Times New Roman"/>
        <charset val="134"/>
      </rPr>
      <t>5m</t>
    </r>
    <r>
      <rPr>
        <sz val="10.5"/>
        <color theme="1"/>
        <rFont val="宋体"/>
        <charset val="134"/>
      </rPr>
      <t>。则项目总</t>
    </r>
    <r>
      <rPr>
        <sz val="10.5"/>
        <color theme="1"/>
        <rFont val="Times New Roman"/>
        <charset val="134"/>
      </rPr>
      <t>VOCs</t>
    </r>
    <r>
      <rPr>
        <sz val="10.5"/>
        <color theme="1"/>
        <rFont val="宋体"/>
        <charset val="134"/>
      </rPr>
      <t>产生排放情况见下表：</t>
    </r>
  </si>
  <si>
    <r>
      <rPr>
        <sz val="10.5"/>
        <color theme="1"/>
        <rFont val="宋体"/>
        <charset val="134"/>
      </rPr>
      <t>项目印刷过程会产生有机废气，其污染因子主要是总</t>
    </r>
    <r>
      <rPr>
        <sz val="10.5"/>
        <color theme="1"/>
        <rFont val="Times New Roman"/>
        <charset val="134"/>
      </rPr>
      <t>VOCs</t>
    </r>
    <r>
      <rPr>
        <sz val="10.5"/>
        <color theme="1"/>
        <rFont val="宋体"/>
        <charset val="134"/>
      </rPr>
      <t>。项目拟对印刷废气进行收集，有机废气</t>
    </r>
    <r>
      <rPr>
        <sz val="10.5"/>
        <color rgb="FFFF0000"/>
        <rFont val="宋体"/>
        <charset val="134"/>
      </rPr>
      <t>经</t>
    </r>
    <r>
      <rPr>
        <sz val="10.5"/>
        <color rgb="FFFF0000"/>
        <rFont val="Times New Roman"/>
        <charset val="134"/>
      </rPr>
      <t>“</t>
    </r>
    <r>
      <rPr>
        <sz val="10.5"/>
        <color rgb="FFFF0000"/>
        <rFont val="宋体"/>
        <charset val="134"/>
      </rPr>
      <t>等离子</t>
    </r>
    <r>
      <rPr>
        <sz val="10.5"/>
        <color rgb="FFFF0000"/>
        <rFont val="Times New Roman"/>
        <charset val="134"/>
      </rPr>
      <t>+</t>
    </r>
    <r>
      <rPr>
        <sz val="10.5"/>
        <color rgb="FFFF0000"/>
        <rFont val="宋体"/>
        <charset val="134"/>
      </rPr>
      <t>活性炭</t>
    </r>
    <r>
      <rPr>
        <sz val="10.5"/>
        <color rgb="FFFF0000"/>
        <rFont val="Times New Roman"/>
        <charset val="134"/>
      </rPr>
      <t>”</t>
    </r>
    <r>
      <rPr>
        <sz val="10.5"/>
        <color rgb="FFFF0000"/>
        <rFont val="宋体"/>
        <charset val="134"/>
      </rPr>
      <t>处理后</t>
    </r>
    <r>
      <rPr>
        <sz val="10.5"/>
        <color theme="1"/>
        <rFont val="宋体"/>
        <charset val="134"/>
      </rPr>
      <t>通过一个不低于</t>
    </r>
    <r>
      <rPr>
        <sz val="10.5"/>
        <color theme="1"/>
        <rFont val="Times New Roman"/>
        <charset val="134"/>
      </rPr>
      <t>15</t>
    </r>
    <r>
      <rPr>
        <sz val="10.5"/>
        <color theme="1"/>
        <rFont val="宋体"/>
        <charset val="134"/>
      </rPr>
      <t>米高的排气筒排放，其中废气收集效率达到</t>
    </r>
    <r>
      <rPr>
        <sz val="10.5"/>
        <color theme="1"/>
        <rFont val="Times New Roman"/>
        <charset val="134"/>
      </rPr>
      <t>90</t>
    </r>
    <r>
      <rPr>
        <sz val="10.5"/>
        <color theme="1"/>
        <rFont val="宋体"/>
        <charset val="134"/>
      </rPr>
      <t>％。</t>
    </r>
    <r>
      <rPr>
        <sz val="10.5"/>
        <color theme="1"/>
        <rFont val="Times New Roman"/>
        <charset val="134"/>
      </rPr>
      <t xml:space="preserve">
</t>
    </r>
    <r>
      <rPr>
        <sz val="10.5"/>
        <color theme="1"/>
        <rFont val="宋体"/>
        <charset val="134"/>
      </rPr>
      <t>根据污染源强分析章节计算可知，项目的印刷工序产生的总</t>
    </r>
    <r>
      <rPr>
        <sz val="10.5"/>
        <color theme="1"/>
        <rFont val="Times New Roman"/>
        <charset val="134"/>
      </rPr>
      <t>VOCs</t>
    </r>
    <r>
      <rPr>
        <sz val="10.5"/>
        <color theme="1"/>
        <rFont val="宋体"/>
        <charset val="134"/>
      </rPr>
      <t>有组织排放速率为</t>
    </r>
    <r>
      <rPr>
        <sz val="10.5"/>
        <color rgb="FFFF0000"/>
        <rFont val="Times New Roman"/>
        <charset val="134"/>
      </rPr>
      <t>0.091kg/h</t>
    </r>
    <r>
      <rPr>
        <sz val="10.5"/>
        <color theme="1"/>
        <rFont val="宋体"/>
        <charset val="134"/>
      </rPr>
      <t>，有组织排放浓度为</t>
    </r>
    <r>
      <rPr>
        <sz val="10.5"/>
        <color rgb="FFFF0000"/>
        <rFont val="Times New Roman"/>
        <charset val="134"/>
      </rPr>
      <t>18.17mg/m</t>
    </r>
    <r>
      <rPr>
        <vertAlign val="superscript"/>
        <sz val="10.5"/>
        <color rgb="FFFF0000"/>
        <rFont val="Times New Roman"/>
        <charset val="134"/>
      </rPr>
      <t>3</t>
    </r>
    <r>
      <rPr>
        <sz val="10.5"/>
        <color theme="1"/>
        <rFont val="宋体"/>
        <charset val="134"/>
      </rPr>
      <t>，无组织排放</t>
    </r>
    <r>
      <rPr>
        <sz val="10.5"/>
        <color theme="1"/>
        <rFont val="Times New Roman"/>
        <charset val="134"/>
      </rPr>
      <t xml:space="preserve"> </t>
    </r>
    <r>
      <rPr>
        <sz val="10.5"/>
        <color theme="1"/>
        <rFont val="宋体"/>
        <charset val="134"/>
      </rPr>
      <t>厂界浓度为</t>
    </r>
    <r>
      <rPr>
        <sz val="10.5"/>
        <color rgb="FFFF0000"/>
        <rFont val="Times New Roman"/>
        <charset val="134"/>
      </rPr>
      <t>2.6×10-5mg/m</t>
    </r>
    <r>
      <rPr>
        <vertAlign val="superscript"/>
        <sz val="10.5"/>
        <color rgb="FFFF0000"/>
        <rFont val="Times New Roman"/>
        <charset val="134"/>
      </rPr>
      <t>3</t>
    </r>
    <r>
      <rPr>
        <sz val="10.5"/>
        <color theme="1"/>
        <rFont val="宋体"/>
        <charset val="134"/>
      </rPr>
      <t>，均低于广东省地方标准《印刷行业挥发性有机化合物排放标准》（</t>
    </r>
    <r>
      <rPr>
        <sz val="10.5"/>
        <color theme="1"/>
        <rFont val="Times New Roman"/>
        <charset val="134"/>
      </rPr>
      <t>DB44/815-2010</t>
    </r>
    <r>
      <rPr>
        <sz val="10.5"/>
        <color theme="1"/>
        <rFont val="宋体"/>
        <charset val="134"/>
      </rPr>
      <t>）排气筒</t>
    </r>
    <r>
      <rPr>
        <sz val="10.5"/>
        <color theme="1"/>
        <rFont val="Times New Roman"/>
        <charset val="134"/>
      </rPr>
      <t>VOCs</t>
    </r>
    <r>
      <rPr>
        <sz val="10.5"/>
        <color theme="1"/>
        <rFont val="宋体"/>
        <charset val="134"/>
      </rPr>
      <t>排放限值（</t>
    </r>
    <r>
      <rPr>
        <sz val="10.5"/>
        <color theme="1"/>
        <rFont val="Times New Roman"/>
        <charset val="134"/>
      </rPr>
      <t>II</t>
    </r>
    <r>
      <rPr>
        <sz val="10.5"/>
        <color theme="1"/>
        <rFont val="宋体"/>
        <charset val="134"/>
      </rPr>
      <t>时段凸版印刷：最高允许排放浓度：总</t>
    </r>
    <r>
      <rPr>
        <sz val="10.5"/>
        <color theme="1"/>
        <rFont val="Times New Roman"/>
        <charset val="134"/>
      </rPr>
      <t>VOCs</t>
    </r>
    <r>
      <rPr>
        <sz val="10.5"/>
        <color theme="1"/>
        <rFont val="宋体"/>
        <charset val="134"/>
      </rPr>
      <t>≤</t>
    </r>
    <r>
      <rPr>
        <sz val="10.5"/>
        <color theme="1"/>
        <rFont val="Times New Roman"/>
        <charset val="134"/>
      </rPr>
      <t>120mg/m</t>
    </r>
    <r>
      <rPr>
        <vertAlign val="superscript"/>
        <sz val="10.5"/>
        <color theme="1"/>
        <rFont val="Times New Roman"/>
        <charset val="134"/>
      </rPr>
      <t>3</t>
    </r>
    <r>
      <rPr>
        <sz val="10.5"/>
        <color theme="1"/>
        <rFont val="宋体"/>
        <charset val="134"/>
      </rPr>
      <t>；最高允许排放速率：总</t>
    </r>
    <r>
      <rPr>
        <sz val="10.5"/>
        <color theme="1"/>
        <rFont val="Times New Roman"/>
        <charset val="134"/>
      </rPr>
      <t>VOCs</t>
    </r>
    <r>
      <rPr>
        <sz val="10.5"/>
        <color theme="1"/>
        <rFont val="宋体"/>
        <charset val="134"/>
      </rPr>
      <t>≤</t>
    </r>
    <r>
      <rPr>
        <sz val="10.5"/>
        <color theme="1"/>
        <rFont val="Times New Roman"/>
        <charset val="134"/>
      </rPr>
      <t>5.1kg/h</t>
    </r>
    <r>
      <rPr>
        <sz val="10.5"/>
        <color theme="1"/>
        <rFont val="宋体"/>
        <charset val="134"/>
      </rPr>
      <t>；无组织排放监控点浓度限值：总</t>
    </r>
    <r>
      <rPr>
        <sz val="10.5"/>
        <color theme="1"/>
        <rFont val="Times New Roman"/>
        <charset val="134"/>
      </rPr>
      <t>VOCs</t>
    </r>
    <r>
      <rPr>
        <sz val="10.5"/>
        <color theme="1"/>
        <rFont val="宋体"/>
        <charset val="134"/>
      </rPr>
      <t>≤</t>
    </r>
    <r>
      <rPr>
        <sz val="10.5"/>
        <color theme="1"/>
        <rFont val="Times New Roman"/>
        <charset val="134"/>
      </rPr>
      <t>2.0mg/m</t>
    </r>
    <r>
      <rPr>
        <vertAlign val="superscript"/>
        <sz val="10.5"/>
        <color theme="1"/>
        <rFont val="Times New Roman"/>
        <charset val="134"/>
      </rPr>
      <t>3</t>
    </r>
    <r>
      <rPr>
        <sz val="10.5"/>
        <color theme="1"/>
        <rFont val="宋体"/>
        <charset val="134"/>
      </rPr>
      <t>），对周围环境影响不明显。</t>
    </r>
    <r>
      <rPr>
        <sz val="10.5"/>
        <color theme="1"/>
        <rFont val="Times New Roman"/>
        <charset val="134"/>
      </rPr>
      <t xml:space="preserve">
</t>
    </r>
  </si>
  <si>
    <r>
      <rPr>
        <sz val="10.5"/>
        <color theme="1"/>
        <rFont val="Times New Roman"/>
        <charset val="134"/>
      </rPr>
      <t>废气收集后经</t>
    </r>
    <r>
      <rPr>
        <sz val="10.5"/>
        <color rgb="FFFF0000"/>
        <rFont val="Times New Roman"/>
        <charset val="134"/>
      </rPr>
      <t>“</t>
    </r>
    <r>
      <rPr>
        <sz val="10.5"/>
        <color rgb="FFFF0000"/>
        <rFont val="宋体"/>
        <charset val="134"/>
      </rPr>
      <t>等离子</t>
    </r>
    <r>
      <rPr>
        <sz val="10.5"/>
        <color rgb="FFFF0000"/>
        <rFont val="Times New Roman"/>
        <charset val="134"/>
      </rPr>
      <t>+</t>
    </r>
    <r>
      <rPr>
        <sz val="10.5"/>
        <color rgb="FFFF0000"/>
        <rFont val="宋体"/>
        <charset val="134"/>
      </rPr>
      <t>活性炭</t>
    </r>
    <r>
      <rPr>
        <sz val="10.5"/>
        <color rgb="FFFF0000"/>
        <rFont val="Times New Roman"/>
        <charset val="134"/>
      </rPr>
      <t>”</t>
    </r>
    <r>
      <rPr>
        <sz val="10.5"/>
        <color theme="1"/>
        <rFont val="宋体"/>
        <charset val="134"/>
      </rPr>
      <t>处理达标后通过不低于</t>
    </r>
    <r>
      <rPr>
        <sz val="10.5"/>
        <color theme="1"/>
        <rFont val="Times New Roman"/>
        <charset val="134"/>
      </rPr>
      <t>15</t>
    </r>
    <r>
      <rPr>
        <sz val="10.5"/>
        <color theme="1"/>
        <rFont val="宋体"/>
        <charset val="134"/>
      </rPr>
      <t>米的排气筒排放</t>
    </r>
  </si>
  <si>
    <t>绝缘漆</t>
  </si>
  <si>
    <t>沉浸</t>
  </si>
  <si>
    <t>浸漆</t>
  </si>
  <si>
    <t>浸漆废气</t>
  </si>
  <si>
    <r>
      <rPr>
        <sz val="10.5"/>
        <color theme="1"/>
        <rFont val="Times New Roman"/>
        <charset val="134"/>
      </rPr>
      <t xml:space="preserve">根据《顺德区环境运输和城市管理局转发关于印发2014 </t>
    </r>
    <r>
      <rPr>
        <sz val="10.5"/>
        <color theme="1"/>
        <rFont val="宋体"/>
        <charset val="134"/>
      </rPr>
      <t>年佛山市陶瓷行业、玻璃制造行业、铝型材行业和</t>
    </r>
    <r>
      <rPr>
        <sz val="10.5"/>
        <color theme="1"/>
        <rFont val="Times New Roman"/>
        <charset val="134"/>
      </rPr>
      <t xml:space="preserve">VOCs </t>
    </r>
    <r>
      <rPr>
        <sz val="10.5"/>
        <color theme="1"/>
        <rFont val="宋体"/>
        <charset val="134"/>
      </rPr>
      <t>排放企业整治方案的通知》，浸漆有机废气参照执行《家具制造行业挥发性有机化合物排放标准》（</t>
    </r>
    <r>
      <rPr>
        <sz val="10.5"/>
        <color theme="1"/>
        <rFont val="Times New Roman"/>
        <charset val="134"/>
      </rPr>
      <t>DB44/814-2010</t>
    </r>
    <r>
      <rPr>
        <sz val="10.5"/>
        <color theme="1"/>
        <rFont val="宋体"/>
        <charset val="134"/>
      </rPr>
      <t>）标准。</t>
    </r>
  </si>
  <si>
    <r>
      <rPr>
        <sz val="10.5"/>
        <color rgb="FFFF0000"/>
        <rFont val="Times New Roman"/>
        <charset val="134"/>
      </rPr>
      <t>等离子+uv</t>
    </r>
    <r>
      <rPr>
        <sz val="10.5"/>
        <color rgb="FFFF0000"/>
        <rFont val="宋体"/>
        <charset val="134"/>
      </rPr>
      <t>光解</t>
    </r>
  </si>
  <si>
    <r>
      <rPr>
        <sz val="10.5"/>
        <color rgb="FF000000"/>
        <rFont val="Times New Roman"/>
        <charset val="134"/>
      </rPr>
      <t>浸漆及干燥过程产生的VOCs</t>
    </r>
    <r>
      <rPr>
        <sz val="10.5"/>
        <color rgb="FF000000"/>
        <rFont val="宋体"/>
        <charset val="134"/>
      </rPr>
      <t>：项目设置独立的浸漆房，工件根据产品需求浸泡绝缘漆后进行干燥。浸漆使用绝缘漆和稀释剂，根据建设单位提供的成分性质，绝缘漆有机废气挥发量取</t>
    </r>
    <r>
      <rPr>
        <sz val="10.5"/>
        <color rgb="FF000000"/>
        <rFont val="Times New Roman"/>
        <charset val="134"/>
      </rPr>
      <t>30%</t>
    </r>
    <r>
      <rPr>
        <sz val="10.5"/>
        <color rgb="FF000000"/>
        <rFont val="宋体"/>
        <charset val="134"/>
      </rPr>
      <t>，稀释剂有机废气挥发量取</t>
    </r>
    <r>
      <rPr>
        <sz val="10.5"/>
        <color rgb="FF000000"/>
        <rFont val="Times New Roman"/>
        <charset val="134"/>
      </rPr>
      <t>100%</t>
    </r>
    <r>
      <rPr>
        <sz val="10.5"/>
        <color rgb="FF000000"/>
        <rFont val="宋体"/>
        <charset val="134"/>
      </rPr>
      <t>。</t>
    </r>
    <r>
      <rPr>
        <sz val="10.5"/>
        <color rgb="FFFF0000"/>
        <rFont val="宋体"/>
        <charset val="134"/>
      </rPr>
      <t>绝缘漆用量为</t>
    </r>
    <r>
      <rPr>
        <sz val="10.5"/>
        <color rgb="FFFF0000"/>
        <rFont val="Times New Roman"/>
        <charset val="134"/>
      </rPr>
      <t>2</t>
    </r>
    <r>
      <rPr>
        <sz val="10.5"/>
        <color rgb="FFFF0000"/>
        <rFont val="宋体"/>
        <charset val="134"/>
      </rPr>
      <t>吨</t>
    </r>
    <r>
      <rPr>
        <sz val="10.5"/>
        <color rgb="FFFF0000"/>
        <rFont val="Times New Roman"/>
        <charset val="134"/>
      </rPr>
      <t>/</t>
    </r>
    <r>
      <rPr>
        <sz val="10.5"/>
        <color rgb="FFFF0000"/>
        <rFont val="宋体"/>
        <charset val="134"/>
      </rPr>
      <t>年，稀释剂用量为</t>
    </r>
    <r>
      <rPr>
        <sz val="10.5"/>
        <color rgb="FFFF0000"/>
        <rFont val="Times New Roman"/>
        <charset val="134"/>
      </rPr>
      <t>0.3</t>
    </r>
    <r>
      <rPr>
        <sz val="10.5"/>
        <color rgb="FFFF0000"/>
        <rFont val="宋体"/>
        <charset val="134"/>
      </rPr>
      <t>吨</t>
    </r>
    <r>
      <rPr>
        <sz val="10.5"/>
        <color rgb="FFFF0000"/>
        <rFont val="Times New Roman"/>
        <charset val="134"/>
      </rPr>
      <t>/</t>
    </r>
    <r>
      <rPr>
        <sz val="10.5"/>
        <color rgb="FFFF0000"/>
        <rFont val="宋体"/>
        <charset val="134"/>
      </rPr>
      <t>年，则浸漆工序</t>
    </r>
    <r>
      <rPr>
        <sz val="10.5"/>
        <color rgb="FFFF0000"/>
        <rFont val="Times New Roman"/>
        <charset val="134"/>
      </rPr>
      <t>VOCs</t>
    </r>
    <r>
      <rPr>
        <sz val="10.5"/>
        <color rgb="FFFF0000"/>
        <rFont val="宋体"/>
        <charset val="134"/>
      </rPr>
      <t>产生量为</t>
    </r>
    <r>
      <rPr>
        <sz val="10.5"/>
        <color rgb="FFFF0000"/>
        <rFont val="Times New Roman"/>
        <charset val="134"/>
      </rPr>
      <t>0.9t/a</t>
    </r>
    <r>
      <rPr>
        <sz val="10.5"/>
        <color rgb="FFFF0000"/>
        <rFont val="宋体"/>
        <charset val="134"/>
      </rPr>
      <t>。</t>
    </r>
    <r>
      <rPr>
        <sz val="10.5"/>
        <color rgb="FF000000"/>
        <rFont val="Times New Roman"/>
        <charset val="134"/>
      </rPr>
      <t xml:space="preserve">
</t>
    </r>
    <r>
      <rPr>
        <sz val="10.5"/>
        <color rgb="FF000000"/>
        <rFont val="宋体"/>
        <charset val="134"/>
      </rPr>
      <t>项目拟将浸漆的废气收集后利用</t>
    </r>
    <r>
      <rPr>
        <sz val="10.5"/>
        <color rgb="FF000000"/>
        <rFont val="Times New Roman"/>
        <charset val="134"/>
      </rPr>
      <t>“</t>
    </r>
    <r>
      <rPr>
        <sz val="10.5"/>
        <color rgb="FF000000"/>
        <rFont val="宋体"/>
        <charset val="134"/>
      </rPr>
      <t>低温等离子</t>
    </r>
    <r>
      <rPr>
        <sz val="10.5"/>
        <color rgb="FF000000"/>
        <rFont val="Times New Roman"/>
        <charset val="134"/>
      </rPr>
      <t>+UV</t>
    </r>
    <r>
      <rPr>
        <sz val="10.5"/>
        <color rgb="FF000000"/>
        <rFont val="宋体"/>
        <charset val="134"/>
      </rPr>
      <t>光解</t>
    </r>
    <r>
      <rPr>
        <sz val="10.5"/>
        <color rgb="FF000000"/>
        <rFont val="Times New Roman"/>
        <charset val="134"/>
      </rPr>
      <t>”</t>
    </r>
    <r>
      <rPr>
        <sz val="10.5"/>
        <color rgb="FF000000"/>
        <rFont val="宋体"/>
        <charset val="134"/>
      </rPr>
      <t>处理设施处理，最后通过不低于</t>
    </r>
    <r>
      <rPr>
        <sz val="10.5"/>
        <color rgb="FF000000"/>
        <rFont val="Times New Roman"/>
        <charset val="134"/>
      </rPr>
      <t>15m</t>
    </r>
    <r>
      <rPr>
        <sz val="10.5"/>
        <color rgb="FF000000"/>
        <rFont val="宋体"/>
        <charset val="134"/>
      </rPr>
      <t>的排气筒（</t>
    </r>
    <r>
      <rPr>
        <sz val="10.5"/>
        <color rgb="FF000000"/>
        <rFont val="Times New Roman"/>
        <charset val="134"/>
      </rPr>
      <t>1#</t>
    </r>
    <r>
      <rPr>
        <sz val="10.5"/>
        <color rgb="FF000000"/>
        <rFont val="宋体"/>
        <charset val="134"/>
      </rPr>
      <t>）排放，收集效率为</t>
    </r>
    <r>
      <rPr>
        <sz val="10.5"/>
        <color rgb="FF000000"/>
        <rFont val="Times New Roman"/>
        <charset val="134"/>
      </rPr>
      <t>90%</t>
    </r>
    <r>
      <rPr>
        <sz val="10.5"/>
        <color rgb="FF000000"/>
        <rFont val="宋体"/>
        <charset val="134"/>
      </rPr>
      <t>，处理效率为</t>
    </r>
    <r>
      <rPr>
        <sz val="10.5"/>
        <color rgb="FF000000"/>
        <rFont val="Times New Roman"/>
        <charset val="134"/>
      </rPr>
      <t>90%</t>
    </r>
    <r>
      <rPr>
        <sz val="10.5"/>
        <color rgb="FF000000"/>
        <rFont val="宋体"/>
        <charset val="134"/>
      </rPr>
      <t>，排气筒建议风量为</t>
    </r>
    <r>
      <rPr>
        <sz val="10.5"/>
        <color rgb="FF000000"/>
        <rFont val="Times New Roman"/>
        <charset val="134"/>
      </rPr>
      <t>10000 m3/h</t>
    </r>
    <r>
      <rPr>
        <sz val="10.5"/>
        <color rgb="FF000000"/>
        <rFont val="宋体"/>
        <charset val="134"/>
      </rPr>
      <t>。以上工序每天连续运行</t>
    </r>
    <r>
      <rPr>
        <sz val="10.5"/>
        <color rgb="FF000000"/>
        <rFont val="Times New Roman"/>
        <charset val="134"/>
      </rPr>
      <t>6</t>
    </r>
    <r>
      <rPr>
        <sz val="10.5"/>
        <color rgb="FF000000"/>
        <rFont val="宋体"/>
        <charset val="134"/>
      </rPr>
      <t>小时，核算浸漆废气的产生及排放情况见下表</t>
    </r>
    <r>
      <rPr>
        <sz val="10.5"/>
        <color rgb="FF000000"/>
        <rFont val="Times New Roman"/>
        <charset val="134"/>
      </rPr>
      <t xml:space="preserve">
</t>
    </r>
    <r>
      <rPr>
        <sz val="10.5"/>
        <color rgb="FF000000"/>
        <rFont val="宋体"/>
        <charset val="134"/>
      </rPr>
      <t>。</t>
    </r>
  </si>
  <si>
    <r>
      <rPr>
        <sz val="10.5"/>
        <color theme="1"/>
        <rFont val="宋体"/>
        <charset val="134"/>
      </rPr>
      <t>浸漆及干燥过程产生的</t>
    </r>
    <r>
      <rPr>
        <sz val="10.5"/>
        <color theme="1"/>
        <rFont val="Times New Roman"/>
        <charset val="134"/>
      </rPr>
      <t>VOCs</t>
    </r>
    <r>
      <rPr>
        <sz val="10.5"/>
        <color theme="1"/>
        <rFont val="宋体"/>
        <charset val="134"/>
      </rPr>
      <t>：项目设置独立的浸漆房，工件根据产品需求浸泡绝缘漆后进行干燥。浸漆使用绝缘漆和稀释剂。</t>
    </r>
    <r>
      <rPr>
        <sz val="10.5"/>
        <color theme="1"/>
        <rFont val="Times New Roman"/>
        <charset val="134"/>
      </rPr>
      <t xml:space="preserve">
</t>
    </r>
    <r>
      <rPr>
        <sz val="10.5"/>
        <color theme="1"/>
        <rFont val="宋体"/>
        <charset val="134"/>
      </rPr>
      <t>项目拟将以上废气收集后利用</t>
    </r>
    <r>
      <rPr>
        <sz val="10.5"/>
        <color theme="1"/>
        <rFont val="Times New Roman"/>
        <charset val="134"/>
      </rPr>
      <t>“</t>
    </r>
    <r>
      <rPr>
        <sz val="10.5"/>
        <color theme="1"/>
        <rFont val="宋体"/>
        <charset val="134"/>
      </rPr>
      <t>低温等离子</t>
    </r>
    <r>
      <rPr>
        <sz val="10.5"/>
        <color theme="1"/>
        <rFont val="Times New Roman"/>
        <charset val="134"/>
      </rPr>
      <t>+UV</t>
    </r>
    <r>
      <rPr>
        <sz val="10.5"/>
        <color theme="1"/>
        <rFont val="宋体"/>
        <charset val="134"/>
      </rPr>
      <t>光解</t>
    </r>
    <r>
      <rPr>
        <sz val="10.5"/>
        <color theme="1"/>
        <rFont val="Times New Roman"/>
        <charset val="134"/>
      </rPr>
      <t>”</t>
    </r>
    <r>
      <rPr>
        <sz val="10.5"/>
        <color theme="1"/>
        <rFont val="宋体"/>
        <charset val="134"/>
      </rPr>
      <t>处理设施处理，最后通过不低于</t>
    </r>
    <r>
      <rPr>
        <sz val="10.5"/>
        <color theme="1"/>
        <rFont val="Times New Roman"/>
        <charset val="134"/>
      </rPr>
      <t>15m</t>
    </r>
    <r>
      <rPr>
        <sz val="10.5"/>
        <color theme="1"/>
        <rFont val="宋体"/>
        <charset val="134"/>
      </rPr>
      <t>的排气筒（</t>
    </r>
    <r>
      <rPr>
        <sz val="10.5"/>
        <color theme="1"/>
        <rFont val="Times New Roman"/>
        <charset val="134"/>
      </rPr>
      <t>1#</t>
    </r>
    <r>
      <rPr>
        <sz val="10.5"/>
        <color theme="1"/>
        <rFont val="宋体"/>
        <charset val="134"/>
      </rPr>
      <t>）排放，收集效率为</t>
    </r>
    <r>
      <rPr>
        <sz val="10.5"/>
        <color theme="1"/>
        <rFont val="Times New Roman"/>
        <charset val="134"/>
      </rPr>
      <t>90%</t>
    </r>
    <r>
      <rPr>
        <sz val="10.5"/>
        <color theme="1"/>
        <rFont val="宋体"/>
        <charset val="134"/>
      </rPr>
      <t>，处理效率为</t>
    </r>
    <r>
      <rPr>
        <sz val="10.5"/>
        <color theme="1"/>
        <rFont val="Times New Roman"/>
        <charset val="134"/>
      </rPr>
      <t>90%</t>
    </r>
    <r>
      <rPr>
        <sz val="10.5"/>
        <color theme="1"/>
        <rFont val="宋体"/>
        <charset val="134"/>
      </rPr>
      <t>，排气筒建议风量为</t>
    </r>
    <r>
      <rPr>
        <sz val="10.5"/>
        <color theme="1"/>
        <rFont val="Times New Roman"/>
        <charset val="134"/>
      </rPr>
      <t>10000 m</t>
    </r>
    <r>
      <rPr>
        <vertAlign val="superscript"/>
        <sz val="10.5"/>
        <color theme="1"/>
        <rFont val="Times New Roman"/>
        <charset val="134"/>
      </rPr>
      <t>3</t>
    </r>
    <r>
      <rPr>
        <sz val="10.5"/>
        <color theme="1"/>
        <rFont val="Times New Roman"/>
        <charset val="134"/>
      </rPr>
      <t>/h</t>
    </r>
    <r>
      <rPr>
        <sz val="10.5"/>
        <color theme="1"/>
        <rFont val="宋体"/>
        <charset val="134"/>
      </rPr>
      <t>。以上工序每天连续运行</t>
    </r>
    <r>
      <rPr>
        <sz val="10.5"/>
        <color theme="1"/>
        <rFont val="Times New Roman"/>
        <charset val="134"/>
      </rPr>
      <t>6</t>
    </r>
    <r>
      <rPr>
        <sz val="10.5"/>
        <color theme="1"/>
        <rFont val="宋体"/>
        <charset val="134"/>
      </rPr>
      <t>小时，年工作</t>
    </r>
    <r>
      <rPr>
        <sz val="10.5"/>
        <color theme="1"/>
        <rFont val="Times New Roman"/>
        <charset val="134"/>
      </rPr>
      <t>300</t>
    </r>
    <r>
      <rPr>
        <sz val="10.5"/>
        <color theme="1"/>
        <rFont val="宋体"/>
        <charset val="134"/>
      </rPr>
      <t>天。</t>
    </r>
    <r>
      <rPr>
        <sz val="10.5"/>
        <color theme="1"/>
        <rFont val="Times New Roman"/>
        <charset val="134"/>
      </rPr>
      <t xml:space="preserve">
</t>
    </r>
    <r>
      <rPr>
        <sz val="10.5"/>
        <color theme="1"/>
        <rFont val="宋体"/>
        <charset val="134"/>
      </rPr>
      <t>根据《</t>
    </r>
    <r>
      <rPr>
        <sz val="10.5"/>
        <color theme="1"/>
        <rFont val="Times New Roman"/>
        <charset val="134"/>
      </rPr>
      <t>2013</t>
    </r>
    <r>
      <rPr>
        <sz val="10.5"/>
        <color theme="1"/>
        <rFont val="宋体"/>
        <charset val="134"/>
      </rPr>
      <t>年国家先进污染防治示范技术名录》，</t>
    </r>
    <r>
      <rPr>
        <sz val="10.5"/>
        <color theme="1"/>
        <rFont val="Times New Roman"/>
        <charset val="134"/>
      </rPr>
      <t>“</t>
    </r>
    <r>
      <rPr>
        <sz val="10.5"/>
        <color theme="1"/>
        <rFont val="宋体"/>
        <charset val="134"/>
      </rPr>
      <t>低温等离子</t>
    </r>
    <r>
      <rPr>
        <sz val="10.5"/>
        <color theme="1"/>
        <rFont val="Times New Roman"/>
        <charset val="134"/>
      </rPr>
      <t>”</t>
    </r>
    <r>
      <rPr>
        <sz val="10.5"/>
        <color theme="1"/>
        <rFont val="宋体"/>
        <charset val="134"/>
      </rPr>
      <t>技术使用于化工、印刷、轻工、制药、家具等行业，属于国家先进的污染防治示范技术。低温等离子废气处理设施原理为：等离子体是指处于电离状态的气态物质，它是由大量带电粒子和中性粒子所组成。含</t>
    </r>
    <r>
      <rPr>
        <sz val="10.5"/>
        <color theme="1"/>
        <rFont val="Times New Roman"/>
        <charset val="134"/>
      </rPr>
      <t>VOCs</t>
    </r>
    <r>
      <rPr>
        <sz val="10.5"/>
        <color theme="1"/>
        <rFont val="宋体"/>
        <charset val="134"/>
      </rPr>
      <t>的废气通过设备时，通过气体放电或加热方法从外界获得足够能量，能使气体分子或原子中轨道所束缚的电子变为自由电子，即形成等离子体。气体分子在极强的交流电场中被激发，此时气体分子相当于加热到几千摄氏度，而实际上温度并无变化，称为低温等离子体。经低温等离子体处理后，废气被分解成</t>
    </r>
    <r>
      <rPr>
        <sz val="10.5"/>
        <color theme="1"/>
        <rFont val="Times New Roman"/>
        <charset val="134"/>
      </rPr>
      <t>CO</t>
    </r>
    <r>
      <rPr>
        <vertAlign val="subscript"/>
        <sz val="10.5"/>
        <color theme="1"/>
        <rFont val="Times New Roman"/>
        <charset val="134"/>
      </rPr>
      <t>2</t>
    </r>
    <r>
      <rPr>
        <sz val="10.5"/>
        <color theme="1"/>
        <rFont val="宋体"/>
        <charset val="134"/>
      </rPr>
      <t>和</t>
    </r>
    <r>
      <rPr>
        <sz val="10.5"/>
        <color theme="1"/>
        <rFont val="Times New Roman"/>
        <charset val="134"/>
      </rPr>
      <t>H</t>
    </r>
    <r>
      <rPr>
        <vertAlign val="subscript"/>
        <sz val="10.5"/>
        <color theme="1"/>
        <rFont val="Times New Roman"/>
        <charset val="134"/>
      </rPr>
      <t>2</t>
    </r>
    <r>
      <rPr>
        <sz val="10.5"/>
        <color theme="1"/>
        <rFont val="Times New Roman"/>
        <charset val="134"/>
      </rPr>
      <t>O</t>
    </r>
    <r>
      <rPr>
        <sz val="10.5"/>
        <color theme="1"/>
        <rFont val="宋体"/>
        <charset val="134"/>
      </rPr>
      <t>。</t>
    </r>
    <r>
      <rPr>
        <sz val="10.5"/>
        <color theme="1"/>
        <rFont val="Times New Roman"/>
        <charset val="134"/>
      </rPr>
      <t xml:space="preserve">
</t>
    </r>
    <r>
      <rPr>
        <sz val="10.5"/>
        <color theme="1"/>
        <rFont val="宋体"/>
        <charset val="134"/>
      </rPr>
      <t>参考同类项目，</t>
    </r>
    <r>
      <rPr>
        <sz val="10.5"/>
        <color theme="1"/>
        <rFont val="Times New Roman"/>
        <charset val="134"/>
      </rPr>
      <t>UV</t>
    </r>
    <r>
      <rPr>
        <sz val="10.5"/>
        <color theme="1"/>
        <rFont val="宋体"/>
        <charset val="134"/>
      </rPr>
      <t>光解对</t>
    </r>
    <r>
      <rPr>
        <sz val="10.5"/>
        <color theme="1"/>
        <rFont val="Times New Roman"/>
        <charset val="134"/>
      </rPr>
      <t>VOCs</t>
    </r>
    <r>
      <rPr>
        <sz val="10.5"/>
        <color theme="1"/>
        <rFont val="宋体"/>
        <charset val="134"/>
      </rPr>
      <t>净化效率为</t>
    </r>
    <r>
      <rPr>
        <sz val="10.5"/>
        <color theme="1"/>
        <rFont val="Times New Roman"/>
        <charset val="134"/>
      </rPr>
      <t>70%</t>
    </r>
    <r>
      <rPr>
        <sz val="10.5"/>
        <color theme="1"/>
        <rFont val="宋体"/>
        <charset val="134"/>
      </rPr>
      <t>。低温等离子处理工艺中，有些分子只是降解而未被彻底氧化，可能产生二次污染，在保证停留时间和能耗的情况下，产生的二次</t>
    </r>
    <r>
      <rPr>
        <sz val="10.5"/>
        <color theme="1"/>
        <rFont val="Times New Roman"/>
        <charset val="134"/>
      </rPr>
      <t>VOCs</t>
    </r>
    <r>
      <rPr>
        <sz val="10.5"/>
        <color theme="1"/>
        <rFont val="宋体"/>
        <charset val="134"/>
      </rPr>
      <t>污染较小，即使产生少量二次</t>
    </r>
    <r>
      <rPr>
        <sz val="10.5"/>
        <color theme="1"/>
        <rFont val="Times New Roman"/>
        <charset val="134"/>
      </rPr>
      <t>VOCs</t>
    </r>
    <r>
      <rPr>
        <sz val="10.5"/>
        <color theme="1"/>
        <rFont val="宋体"/>
        <charset val="134"/>
      </rPr>
      <t>污染，也能在后续的第二级</t>
    </r>
    <r>
      <rPr>
        <sz val="10.5"/>
        <color theme="1"/>
        <rFont val="Times New Roman"/>
        <charset val="134"/>
      </rPr>
      <t>UV</t>
    </r>
    <r>
      <rPr>
        <sz val="10.5"/>
        <color theme="1"/>
        <rFont val="宋体"/>
        <charset val="134"/>
      </rPr>
      <t>光解设施中得到处理。</t>
    </r>
    <r>
      <rPr>
        <sz val="10.5"/>
        <color theme="1"/>
        <rFont val="Times New Roman"/>
        <charset val="134"/>
      </rPr>
      <t xml:space="preserve">
</t>
    </r>
    <r>
      <rPr>
        <sz val="10.5"/>
        <color theme="1"/>
        <rFont val="宋体"/>
        <charset val="134"/>
      </rPr>
      <t>参考《广东省印刷行业挥发性有机化合物废气治理技术指南》，处理每</t>
    </r>
    <r>
      <rPr>
        <sz val="10.5"/>
        <color theme="1"/>
        <rFont val="Times New Roman"/>
        <charset val="134"/>
      </rPr>
      <t>10000m</t>
    </r>
    <r>
      <rPr>
        <vertAlign val="superscript"/>
        <sz val="10.5"/>
        <color theme="1"/>
        <rFont val="Times New Roman"/>
        <charset val="134"/>
      </rPr>
      <t>3</t>
    </r>
    <r>
      <rPr>
        <sz val="10.5"/>
        <color theme="1"/>
        <rFont val="Times New Roman"/>
        <charset val="134"/>
      </rPr>
      <t>/h</t>
    </r>
    <r>
      <rPr>
        <sz val="10.5"/>
        <color theme="1"/>
        <rFont val="宋体"/>
        <charset val="134"/>
      </rPr>
      <t>风量的废气，低温等离子体治理设施的功率为</t>
    </r>
    <r>
      <rPr>
        <sz val="10.5"/>
        <color theme="1"/>
        <rFont val="Times New Roman"/>
        <charset val="134"/>
      </rPr>
      <t>20</t>
    </r>
    <r>
      <rPr>
        <sz val="10.5"/>
        <color theme="1"/>
        <rFont val="宋体"/>
        <charset val="134"/>
      </rPr>
      <t>～</t>
    </r>
    <r>
      <rPr>
        <sz val="10.5"/>
        <color theme="1"/>
        <rFont val="Times New Roman"/>
        <charset val="134"/>
      </rPr>
      <t>50KW</t>
    </r>
    <r>
      <rPr>
        <sz val="10.5"/>
        <color theme="1"/>
        <rFont val="宋体"/>
        <charset val="134"/>
      </rPr>
      <t>；要求项目保证低温等离子处理的停留时间为</t>
    </r>
    <r>
      <rPr>
        <sz val="10.5"/>
        <color theme="1"/>
        <rFont val="Times New Roman"/>
        <charset val="134"/>
      </rPr>
      <t>1</t>
    </r>
    <r>
      <rPr>
        <sz val="10.5"/>
        <color theme="1"/>
        <rFont val="宋体"/>
        <charset val="134"/>
      </rPr>
      <t>～</t>
    </r>
    <r>
      <rPr>
        <sz val="10.5"/>
        <color theme="1"/>
        <rFont val="Times New Roman"/>
        <charset val="134"/>
      </rPr>
      <t>2s</t>
    </r>
    <r>
      <rPr>
        <sz val="10.5"/>
        <color theme="1"/>
        <rFont val="宋体"/>
        <charset val="134"/>
      </rPr>
      <t>或以上，且治理设施功率为</t>
    </r>
    <r>
      <rPr>
        <sz val="10.5"/>
        <color theme="1"/>
        <rFont val="Times New Roman"/>
        <charset val="134"/>
      </rPr>
      <t>30</t>
    </r>
    <r>
      <rPr>
        <sz val="10.5"/>
        <color theme="1"/>
        <rFont val="宋体"/>
        <charset val="134"/>
      </rPr>
      <t>～</t>
    </r>
    <r>
      <rPr>
        <sz val="10.5"/>
        <color theme="1"/>
        <rFont val="Times New Roman"/>
        <charset val="134"/>
      </rPr>
      <t>75KW</t>
    </r>
    <r>
      <rPr>
        <sz val="10.5"/>
        <color theme="1"/>
        <rFont val="宋体"/>
        <charset val="134"/>
      </rPr>
      <t>。在保证能耗和停留时间的条件下，可以保证低温等离子处理效率不低于</t>
    </r>
    <r>
      <rPr>
        <sz val="10.5"/>
        <color theme="1"/>
        <rFont val="Times New Roman"/>
        <charset val="134"/>
      </rPr>
      <t>70%</t>
    </r>
    <r>
      <rPr>
        <sz val="10.5"/>
        <color theme="1"/>
        <rFont val="宋体"/>
        <charset val="134"/>
      </rPr>
      <t>，本项目选用的低温等离子设备能够满足处理工艺的要求。</t>
    </r>
    <r>
      <rPr>
        <sz val="10.5"/>
        <color theme="1"/>
        <rFont val="Times New Roman"/>
        <charset val="134"/>
      </rPr>
      <t>“</t>
    </r>
    <r>
      <rPr>
        <sz val="10.5"/>
        <color theme="1"/>
        <rFont val="宋体"/>
        <charset val="134"/>
      </rPr>
      <t>低温等离子</t>
    </r>
    <r>
      <rPr>
        <sz val="10.5"/>
        <color theme="1"/>
        <rFont val="Times New Roman"/>
        <charset val="134"/>
      </rPr>
      <t>”</t>
    </r>
    <r>
      <rPr>
        <sz val="10.5"/>
        <color theme="1"/>
        <rFont val="宋体"/>
        <charset val="134"/>
      </rPr>
      <t>和</t>
    </r>
    <r>
      <rPr>
        <sz val="10.5"/>
        <color theme="1"/>
        <rFont val="Times New Roman"/>
        <charset val="134"/>
      </rPr>
      <t>“UV</t>
    </r>
    <r>
      <rPr>
        <sz val="10.5"/>
        <color theme="1"/>
        <rFont val="宋体"/>
        <charset val="134"/>
      </rPr>
      <t>光解</t>
    </r>
    <r>
      <rPr>
        <sz val="10.5"/>
        <color theme="1"/>
        <rFont val="Times New Roman"/>
        <charset val="134"/>
      </rPr>
      <t>”</t>
    </r>
    <r>
      <rPr>
        <sz val="10.5"/>
        <color theme="1"/>
        <rFont val="宋体"/>
        <charset val="134"/>
      </rPr>
      <t>均为较成熟的处理有机废气的方法，正逐渐被越来越多的企业采用。</t>
    </r>
    <r>
      <rPr>
        <sz val="10.5"/>
        <color theme="1"/>
        <rFont val="Times New Roman"/>
        <charset val="134"/>
      </rPr>
      <t xml:space="preserve">
</t>
    </r>
    <r>
      <rPr>
        <sz val="10.5"/>
        <color theme="1"/>
        <rFont val="宋体"/>
        <charset val="134"/>
      </rPr>
      <t>根据工程分析核算，</t>
    </r>
    <r>
      <rPr>
        <sz val="10.5"/>
        <color rgb="FFFF0000"/>
        <rFont val="宋体"/>
        <charset val="134"/>
      </rPr>
      <t>项目排气筒</t>
    </r>
    <r>
      <rPr>
        <sz val="10.5"/>
        <color rgb="FFFF0000"/>
        <rFont val="Times New Roman"/>
        <charset val="134"/>
      </rPr>
      <t xml:space="preserve"> VOCs</t>
    </r>
    <r>
      <rPr>
        <sz val="10.5"/>
        <color rgb="FFFF0000"/>
        <rFont val="宋体"/>
        <charset val="134"/>
      </rPr>
      <t>有组织排放量为</t>
    </r>
    <r>
      <rPr>
        <sz val="10.5"/>
        <color rgb="FFFF0000"/>
        <rFont val="Times New Roman"/>
        <charset val="134"/>
      </rPr>
      <t>85.15kg/a</t>
    </r>
    <r>
      <rPr>
        <sz val="10.5"/>
        <color rgb="FFFF0000"/>
        <rFont val="宋体"/>
        <charset val="134"/>
      </rPr>
      <t>，排放速率为</t>
    </r>
    <r>
      <rPr>
        <sz val="10.5"/>
        <color rgb="FFFF0000"/>
        <rFont val="Times New Roman"/>
        <charset val="134"/>
      </rPr>
      <t>0.05kg/h</t>
    </r>
    <r>
      <rPr>
        <sz val="10.5"/>
        <color rgb="FFFF0000"/>
        <rFont val="宋体"/>
        <charset val="134"/>
      </rPr>
      <t>，排放浓度为</t>
    </r>
    <r>
      <rPr>
        <sz val="10.5"/>
        <color rgb="FFFF0000"/>
        <rFont val="Times New Roman"/>
        <charset val="134"/>
      </rPr>
      <t>4.73mg/m</t>
    </r>
    <r>
      <rPr>
        <vertAlign val="superscript"/>
        <sz val="10.5"/>
        <color rgb="FFFF0000"/>
        <rFont val="Times New Roman"/>
        <charset val="134"/>
      </rPr>
      <t>3</t>
    </r>
    <r>
      <rPr>
        <sz val="10.5"/>
        <color rgb="FFFF0000"/>
        <rFont val="宋体"/>
        <charset val="134"/>
      </rPr>
      <t>。使用国家环境保护部推荐预测模型计算公式计算物的厂界排放浓度为</t>
    </r>
    <r>
      <rPr>
        <sz val="10.5"/>
        <color rgb="FFFF0000"/>
        <rFont val="Times New Roman"/>
        <charset val="134"/>
      </rPr>
      <t>0.003mg/m3</t>
    </r>
    <r>
      <rPr>
        <sz val="10.5"/>
        <color theme="1"/>
        <rFont val="宋体"/>
        <charset val="134"/>
      </rPr>
      <t>。有组织排放和无组织排放均满足《家具制造行业挥发性有机化合物排放标准》（</t>
    </r>
    <r>
      <rPr>
        <sz val="10.5"/>
        <color theme="1"/>
        <rFont val="Times New Roman"/>
        <charset val="134"/>
      </rPr>
      <t>DB44/814-2010</t>
    </r>
    <r>
      <rPr>
        <sz val="10.5"/>
        <color theme="1"/>
        <rFont val="宋体"/>
        <charset val="134"/>
      </rPr>
      <t>）第Ⅱ时段标准，对周围环境影响不大。</t>
    </r>
  </si>
  <si>
    <r>
      <rPr>
        <sz val="10.5"/>
        <color theme="1"/>
        <rFont val="Times New Roman"/>
        <charset val="134"/>
      </rPr>
      <t>废气收集后经</t>
    </r>
    <r>
      <rPr>
        <sz val="10.5"/>
        <color rgb="FFFF0000"/>
        <rFont val="Times New Roman"/>
        <charset val="134"/>
      </rPr>
      <t>“</t>
    </r>
    <r>
      <rPr>
        <sz val="10.5"/>
        <color rgb="FFFF0000"/>
        <rFont val="宋体"/>
        <charset val="134"/>
      </rPr>
      <t>等离子</t>
    </r>
    <r>
      <rPr>
        <sz val="10.5"/>
        <color rgb="FFFF0000"/>
        <rFont val="Times New Roman"/>
        <charset val="134"/>
      </rPr>
      <t>+UV</t>
    </r>
    <r>
      <rPr>
        <sz val="10.5"/>
        <color rgb="FFFF0000"/>
        <rFont val="宋体"/>
        <charset val="134"/>
      </rPr>
      <t>光解</t>
    </r>
    <r>
      <rPr>
        <sz val="10.5"/>
        <color rgb="FFFF0000"/>
        <rFont val="Times New Roman"/>
        <charset val="134"/>
      </rPr>
      <t>”</t>
    </r>
    <r>
      <rPr>
        <sz val="10.5"/>
        <color theme="1"/>
        <rFont val="宋体"/>
        <charset val="134"/>
      </rPr>
      <t>处理达标后通过不低于</t>
    </r>
    <r>
      <rPr>
        <sz val="10.5"/>
        <color theme="1"/>
        <rFont val="Times New Roman"/>
        <charset val="134"/>
      </rPr>
      <t>15</t>
    </r>
    <r>
      <rPr>
        <sz val="10.5"/>
        <color theme="1"/>
        <rFont val="宋体"/>
        <charset val="134"/>
      </rPr>
      <t>米的排气筒排放</t>
    </r>
  </si>
  <si>
    <t>红胶</t>
  </si>
  <si>
    <t>点胶</t>
  </si>
  <si>
    <t>点胶废气</t>
  </si>
  <si>
    <r>
      <rPr>
        <sz val="10.5"/>
        <color theme="1"/>
        <rFont val="Times New Roman"/>
        <charset val="134"/>
      </rPr>
      <t xml:space="preserve">根据《顺德区环境运输和城市管理局转发关于印发2014 </t>
    </r>
    <r>
      <rPr>
        <sz val="10.5"/>
        <color theme="1"/>
        <rFont val="宋体"/>
        <charset val="134"/>
      </rPr>
      <t>年佛山市陶瓷行业、玻璃制造行业、铝型材行业和</t>
    </r>
    <r>
      <rPr>
        <sz val="10.5"/>
        <color theme="1"/>
        <rFont val="Times New Roman"/>
        <charset val="134"/>
      </rPr>
      <t xml:space="preserve">VOCs </t>
    </r>
    <r>
      <rPr>
        <sz val="10.5"/>
        <color theme="1"/>
        <rFont val="宋体"/>
        <charset val="134"/>
      </rPr>
      <t>排放企业整治方案的通知》，点红胶有机废气参照执行《家具制造行业挥发性有机化合物排放标准》（</t>
    </r>
    <r>
      <rPr>
        <sz val="10.5"/>
        <color theme="1"/>
        <rFont val="Times New Roman"/>
        <charset val="134"/>
      </rPr>
      <t>DB44/814-2010</t>
    </r>
    <r>
      <rPr>
        <sz val="10.5"/>
        <color theme="1"/>
        <rFont val="宋体"/>
        <charset val="134"/>
      </rPr>
      <t>）标准。</t>
    </r>
  </si>
  <si>
    <r>
      <rPr>
        <sz val="10.5"/>
        <color rgb="FF000000"/>
        <rFont val="Times New Roman"/>
        <charset val="134"/>
      </rPr>
      <t>项目使用环氧树脂胶进行点胶。</t>
    </r>
    <r>
      <rPr>
        <sz val="10.5"/>
        <color rgb="FFFF0000"/>
        <rFont val="宋体"/>
        <charset val="134"/>
      </rPr>
      <t>参考双酚</t>
    </r>
    <r>
      <rPr>
        <sz val="10.5"/>
        <color rgb="FFFF0000"/>
        <rFont val="Times New Roman"/>
        <charset val="134"/>
      </rPr>
      <t>A</t>
    </r>
    <r>
      <rPr>
        <sz val="10.5"/>
        <color rgb="FFFF0000"/>
        <rFont val="宋体"/>
        <charset val="134"/>
      </rPr>
      <t>型环氧树脂的国家标准</t>
    </r>
    <r>
      <rPr>
        <sz val="10.5"/>
        <color rgb="FFFF0000"/>
        <rFont val="Times New Roman"/>
        <charset val="134"/>
      </rPr>
      <t>GB13657-92</t>
    </r>
    <r>
      <rPr>
        <sz val="10.5"/>
        <color rgb="FFFF0000"/>
        <rFont val="宋体"/>
        <charset val="134"/>
      </rPr>
      <t>，</t>
    </r>
    <r>
      <rPr>
        <sz val="10.5"/>
        <color theme="1"/>
        <rFont val="宋体"/>
        <charset val="134"/>
      </rPr>
      <t>双酚</t>
    </r>
    <r>
      <rPr>
        <sz val="10.5"/>
        <color theme="1"/>
        <rFont val="Times New Roman"/>
        <charset val="134"/>
      </rPr>
      <t>A</t>
    </r>
    <r>
      <rPr>
        <sz val="10.5"/>
        <color theme="1"/>
        <rFont val="宋体"/>
        <charset val="134"/>
      </rPr>
      <t>型环氧树脂的挥发分要求不大于</t>
    </r>
    <r>
      <rPr>
        <sz val="10.5"/>
        <color theme="1"/>
        <rFont val="Times New Roman"/>
        <charset val="134"/>
      </rPr>
      <t>1.8%</t>
    </r>
    <r>
      <rPr>
        <sz val="10.5"/>
        <color theme="1"/>
        <rFont val="宋体"/>
        <charset val="134"/>
      </rPr>
      <t>。则环氧树脂胶的挥发量按</t>
    </r>
    <r>
      <rPr>
        <sz val="10.5"/>
        <color theme="1"/>
        <rFont val="Times New Roman"/>
        <charset val="134"/>
      </rPr>
      <t>1.8%</t>
    </r>
    <r>
      <rPr>
        <sz val="10.5"/>
        <color theme="1"/>
        <rFont val="宋体"/>
        <charset val="134"/>
      </rPr>
      <t>核算。废气收集后通过</t>
    </r>
    <r>
      <rPr>
        <sz val="10.5"/>
        <color theme="1"/>
        <rFont val="Times New Roman"/>
        <charset val="134"/>
      </rPr>
      <t>15m</t>
    </r>
    <r>
      <rPr>
        <sz val="10.5"/>
        <color theme="1"/>
        <rFont val="宋体"/>
        <charset val="134"/>
      </rPr>
      <t>排气筒排放，收集风量约为</t>
    </r>
    <r>
      <rPr>
        <sz val="10.5"/>
        <color theme="1"/>
        <rFont val="Times New Roman"/>
        <charset val="134"/>
      </rPr>
      <t>5000m</t>
    </r>
    <r>
      <rPr>
        <vertAlign val="superscript"/>
        <sz val="10.5"/>
        <color theme="1"/>
        <rFont val="Times New Roman"/>
        <charset val="134"/>
      </rPr>
      <t>3</t>
    </r>
    <r>
      <rPr>
        <sz val="10.5"/>
        <color theme="1"/>
        <rFont val="Times New Roman"/>
        <charset val="134"/>
      </rPr>
      <t>/h</t>
    </r>
    <r>
      <rPr>
        <sz val="10.5"/>
        <color theme="1"/>
        <rFont val="宋体"/>
        <charset val="134"/>
      </rPr>
      <t>。</t>
    </r>
  </si>
  <si>
    <r>
      <rPr>
        <sz val="10.5"/>
        <color theme="1"/>
        <rFont val="宋体"/>
        <charset val="134"/>
      </rPr>
      <t>项目使用环氧树脂胶进行点胶。环氧树脂胶中的主要成分为环氧改性树脂，但其中可能残留有催化剂、助剂等挥发成分，产生有机废气，污染因子为总</t>
    </r>
    <r>
      <rPr>
        <sz val="10.5"/>
        <color theme="1"/>
        <rFont val="Times New Roman"/>
        <charset val="134"/>
      </rPr>
      <t>VOCs</t>
    </r>
    <r>
      <rPr>
        <sz val="10.5"/>
        <color theme="1"/>
        <rFont val="宋体"/>
        <charset val="134"/>
      </rPr>
      <t>。</t>
    </r>
    <r>
      <rPr>
        <sz val="10.5"/>
        <color rgb="FFFF0000"/>
        <rFont val="宋体"/>
        <charset val="134"/>
      </rPr>
      <t>经核算，总</t>
    </r>
    <r>
      <rPr>
        <sz val="10.5"/>
        <color rgb="FFFF0000"/>
        <rFont val="Times New Roman"/>
        <charset val="134"/>
      </rPr>
      <t>VOCs</t>
    </r>
    <r>
      <rPr>
        <sz val="10.5"/>
        <color rgb="FFFF0000"/>
        <rFont val="宋体"/>
        <charset val="134"/>
      </rPr>
      <t>的有组织排放量为</t>
    </r>
    <r>
      <rPr>
        <sz val="10.5"/>
        <color rgb="FFFF0000"/>
        <rFont val="Times New Roman"/>
        <charset val="134"/>
      </rPr>
      <t>85.15kg/a</t>
    </r>
    <r>
      <rPr>
        <sz val="10.5"/>
        <color rgb="FFFF0000"/>
        <rFont val="宋体"/>
        <charset val="134"/>
      </rPr>
      <t>，排放速率为</t>
    </r>
    <r>
      <rPr>
        <sz val="10.5"/>
        <color rgb="FFFF0000"/>
        <rFont val="Times New Roman"/>
        <charset val="134"/>
      </rPr>
      <t>0.05kg/h</t>
    </r>
    <r>
      <rPr>
        <sz val="10.5"/>
        <color rgb="FFFF0000"/>
        <rFont val="宋体"/>
        <charset val="134"/>
      </rPr>
      <t>，排放浓度为</t>
    </r>
    <r>
      <rPr>
        <sz val="10.5"/>
        <color rgb="FFFF0000"/>
        <rFont val="Times New Roman"/>
        <charset val="134"/>
      </rPr>
      <t>4.73mg/m</t>
    </r>
    <r>
      <rPr>
        <vertAlign val="superscript"/>
        <sz val="10.5"/>
        <color rgb="FFFF0000"/>
        <rFont val="Times New Roman"/>
        <charset val="134"/>
      </rPr>
      <t>3</t>
    </r>
    <r>
      <rPr>
        <sz val="10.5"/>
        <color rgb="FFFF0000"/>
        <rFont val="宋体"/>
        <charset val="134"/>
      </rPr>
      <t>。使用国家环境保护部推荐预测模型计算公式计算物的厂界排放浓度为</t>
    </r>
    <r>
      <rPr>
        <sz val="10.5"/>
        <color rgb="FFFF0000"/>
        <rFont val="Times New Roman"/>
        <charset val="134"/>
      </rPr>
      <t>0.003mg/m</t>
    </r>
    <r>
      <rPr>
        <vertAlign val="superscript"/>
        <sz val="10.5"/>
        <color rgb="FFFF0000"/>
        <rFont val="Times New Roman"/>
        <charset val="134"/>
      </rPr>
      <t>3</t>
    </r>
    <r>
      <rPr>
        <sz val="10.5"/>
        <color rgb="FFFF0000"/>
        <rFont val="宋体"/>
        <charset val="134"/>
      </rPr>
      <t>。有组织排放和无组织排放均满足《家具制造行业挥发性有机化合物排放标准》（</t>
    </r>
    <r>
      <rPr>
        <sz val="10.5"/>
        <color rgb="FFFF0000"/>
        <rFont val="Times New Roman"/>
        <charset val="134"/>
      </rPr>
      <t>DB44/814-2010</t>
    </r>
    <r>
      <rPr>
        <sz val="10.5"/>
        <color rgb="FFFF0000"/>
        <rFont val="宋体"/>
        <charset val="134"/>
      </rPr>
      <t>）第Ⅱ时段标准，对周围环境影响不大。</t>
    </r>
    <r>
      <rPr>
        <sz val="10.5"/>
        <color theme="1"/>
        <rFont val="宋体"/>
        <charset val="134"/>
      </rPr>
      <t>建议做好废气的收集工作，对风机及管道定期进行维护和保养，保证收集效率。</t>
    </r>
  </si>
  <si>
    <t>回流焊</t>
  </si>
  <si>
    <t>回流焊废气</t>
  </si>
  <si>
    <r>
      <rPr>
        <sz val="10.5"/>
        <color theme="1"/>
        <rFont val="Times New Roman"/>
        <charset val="134"/>
      </rPr>
      <t xml:space="preserve">根据《顺德区环境运输和城市管理局转发关于印发2014 </t>
    </r>
    <r>
      <rPr>
        <sz val="10.5"/>
        <color theme="1"/>
        <rFont val="宋体"/>
        <charset val="134"/>
      </rPr>
      <t>年佛山市陶瓷行业、玻璃制造行业、铝型材行业和</t>
    </r>
    <r>
      <rPr>
        <sz val="10.5"/>
        <color theme="1"/>
        <rFont val="Times New Roman"/>
        <charset val="134"/>
      </rPr>
      <t xml:space="preserve">VOCs </t>
    </r>
    <r>
      <rPr>
        <sz val="10.5"/>
        <color theme="1"/>
        <rFont val="宋体"/>
        <charset val="134"/>
      </rPr>
      <t>排放企业整治方案的通知》，回流焊有机废气参照执行《家具制造行业挥发性有机化合物排放标准》（</t>
    </r>
    <r>
      <rPr>
        <sz val="10.5"/>
        <color theme="1"/>
        <rFont val="Times New Roman"/>
        <charset val="134"/>
      </rPr>
      <t>DB44/814-2010</t>
    </r>
    <r>
      <rPr>
        <sz val="10.5"/>
        <color theme="1"/>
        <rFont val="宋体"/>
        <charset val="134"/>
      </rPr>
      <t>）标准。</t>
    </r>
  </si>
  <si>
    <r>
      <rPr>
        <sz val="10.5"/>
        <color rgb="FF000000"/>
        <rFont val="Times New Roman"/>
        <charset val="134"/>
      </rPr>
      <t>回流焊前需先点红胶和贴片。参考双酚A</t>
    </r>
    <r>
      <rPr>
        <sz val="10.5"/>
        <color rgb="FF000000"/>
        <rFont val="宋体"/>
        <charset val="134"/>
      </rPr>
      <t>型环氧树脂的国家标准</t>
    </r>
    <r>
      <rPr>
        <sz val="10.5"/>
        <color rgb="FF000000"/>
        <rFont val="Times New Roman"/>
        <charset val="134"/>
      </rPr>
      <t>GB13657-92</t>
    </r>
    <r>
      <rPr>
        <sz val="10.5"/>
        <color rgb="FF000000"/>
        <rFont val="宋体"/>
        <charset val="134"/>
      </rPr>
      <t>，双酚</t>
    </r>
    <r>
      <rPr>
        <sz val="10.5"/>
        <color rgb="FF000000"/>
        <rFont val="Times New Roman"/>
        <charset val="134"/>
      </rPr>
      <t>A</t>
    </r>
    <r>
      <rPr>
        <sz val="10.5"/>
        <color rgb="FF000000"/>
        <rFont val="宋体"/>
        <charset val="134"/>
      </rPr>
      <t>型环氧树脂的挥发分要求不大于</t>
    </r>
    <r>
      <rPr>
        <sz val="10.5"/>
        <color rgb="FF000000"/>
        <rFont val="Times New Roman"/>
        <charset val="134"/>
      </rPr>
      <t>1.8%</t>
    </r>
    <r>
      <rPr>
        <sz val="10.5"/>
        <color rgb="FF000000"/>
        <rFont val="宋体"/>
        <charset val="134"/>
      </rPr>
      <t>。则环氧树脂胶的挥发量按</t>
    </r>
    <r>
      <rPr>
        <sz val="10.5"/>
        <color rgb="FF000000"/>
        <rFont val="Times New Roman"/>
        <charset val="134"/>
      </rPr>
      <t>1.8%</t>
    </r>
    <r>
      <rPr>
        <sz val="10.5"/>
        <color rgb="FF000000"/>
        <rFont val="宋体"/>
        <charset val="134"/>
      </rPr>
      <t>核算。则有机废气挥发量按</t>
    </r>
    <r>
      <rPr>
        <sz val="10.5"/>
        <color rgb="FF000000"/>
        <rFont val="Times New Roman"/>
        <charset val="134"/>
      </rPr>
      <t>1.8%</t>
    </r>
    <r>
      <rPr>
        <sz val="10.5"/>
        <color rgb="FF000000"/>
        <rFont val="宋体"/>
        <charset val="134"/>
      </rPr>
      <t>核算。项目年</t>
    </r>
    <r>
      <rPr>
        <sz val="10.5"/>
        <color rgb="FFFF0000"/>
        <rFont val="宋体"/>
        <charset val="134"/>
      </rPr>
      <t>用红胶</t>
    </r>
    <r>
      <rPr>
        <sz val="10.5"/>
        <color rgb="FFFF0000"/>
        <rFont val="Times New Roman"/>
        <charset val="134"/>
      </rPr>
      <t>0.1t</t>
    </r>
    <r>
      <rPr>
        <sz val="10.5"/>
        <color rgb="FFFF0000"/>
        <rFont val="宋体"/>
        <charset val="134"/>
      </rPr>
      <t>，回流焊有效工作时间为</t>
    </r>
    <r>
      <rPr>
        <sz val="10.5"/>
        <color rgb="FFFF0000"/>
        <rFont val="Times New Roman"/>
        <charset val="134"/>
      </rPr>
      <t>4</t>
    </r>
    <r>
      <rPr>
        <sz val="10.5"/>
        <color rgb="FFFF0000"/>
        <rFont val="宋体"/>
        <charset val="134"/>
      </rPr>
      <t>小时，年工作</t>
    </r>
    <r>
      <rPr>
        <sz val="10.5"/>
        <color rgb="FFFF0000"/>
        <rFont val="Times New Roman"/>
        <charset val="134"/>
      </rPr>
      <t>300</t>
    </r>
    <r>
      <rPr>
        <sz val="10.5"/>
        <color rgb="FFFF0000"/>
        <rFont val="宋体"/>
        <charset val="134"/>
      </rPr>
      <t>天，</t>
    </r>
    <r>
      <rPr>
        <sz val="10.5"/>
        <color rgb="FF000000"/>
        <rFont val="宋体"/>
        <charset val="134"/>
      </rPr>
      <t>建议将有机废气收集后于</t>
    </r>
    <r>
      <rPr>
        <sz val="10.5"/>
        <color rgb="FF000000"/>
        <rFont val="Times New Roman"/>
        <charset val="134"/>
      </rPr>
      <t>15</t>
    </r>
    <r>
      <rPr>
        <sz val="10.5"/>
        <color rgb="FF000000"/>
        <rFont val="宋体"/>
        <charset val="134"/>
      </rPr>
      <t>米排气筒排放。废气产生</t>
    </r>
    <r>
      <rPr>
        <sz val="10.5"/>
        <color theme="1"/>
        <rFont val="宋体"/>
        <charset val="134"/>
      </rPr>
      <t>和排放情况如表</t>
    </r>
    <r>
      <rPr>
        <sz val="10.5"/>
        <color theme="1"/>
        <rFont val="Times New Roman"/>
        <charset val="134"/>
      </rPr>
      <t>5-1</t>
    </r>
    <r>
      <rPr>
        <sz val="10.5"/>
        <color theme="1"/>
        <rFont val="宋体"/>
        <charset val="134"/>
      </rPr>
      <t>。</t>
    </r>
  </si>
  <si>
    <r>
      <rPr>
        <sz val="10.5"/>
        <color theme="1"/>
        <rFont val="宋体"/>
        <charset val="134"/>
      </rPr>
      <t>回流焊使用红胶。先将红胶点在</t>
    </r>
    <r>
      <rPr>
        <sz val="10.5"/>
        <color theme="1"/>
        <rFont val="Times New Roman"/>
        <charset val="134"/>
      </rPr>
      <t>PCB</t>
    </r>
    <r>
      <rPr>
        <sz val="10.5"/>
        <color theme="1"/>
        <rFont val="宋体"/>
        <charset val="134"/>
      </rPr>
      <t>板上特定的位置，然后在红胶上放置电子元件，再将</t>
    </r>
    <r>
      <rPr>
        <sz val="10.5"/>
        <color theme="1"/>
        <rFont val="Times New Roman"/>
        <charset val="134"/>
      </rPr>
      <t>PCB</t>
    </r>
    <r>
      <rPr>
        <sz val="10.5"/>
        <color theme="1"/>
        <rFont val="宋体"/>
        <charset val="134"/>
      </rPr>
      <t>板放进回流焊机。回流焊机将空气或氮气加热到足够高的温度后吹向已经贴好元件的线路板，让红胶固化，使电子元件与线路板粘结。红胶中有少量的固化剂，会挥发出有机废气，污染因子为总</t>
    </r>
    <r>
      <rPr>
        <sz val="10.5"/>
        <color theme="1"/>
        <rFont val="Times New Roman"/>
        <charset val="134"/>
      </rPr>
      <t>VOCs</t>
    </r>
    <r>
      <rPr>
        <sz val="10.5"/>
        <color theme="1"/>
        <rFont val="宋体"/>
        <charset val="134"/>
      </rPr>
      <t>。因红胶用量较少，废气挥发量也较少，回流焊过程在密闭的空间中进行，建议将回流焊产生的有机废气收集通过</t>
    </r>
    <r>
      <rPr>
        <sz val="10.5"/>
        <color theme="1"/>
        <rFont val="Times New Roman"/>
        <charset val="134"/>
      </rPr>
      <t>15m</t>
    </r>
    <r>
      <rPr>
        <sz val="10.5"/>
        <color theme="1"/>
        <rFont val="宋体"/>
        <charset val="134"/>
      </rPr>
      <t>排气筒排放。做好废气的收集工作，对风机及管道定期进行维护和保养，保证收集效率。经核算</t>
    </r>
    <r>
      <rPr>
        <sz val="10.5"/>
        <color rgb="FFFF0000"/>
        <rFont val="宋体"/>
        <charset val="134"/>
      </rPr>
      <t>，有机废气有组织排放量为</t>
    </r>
    <r>
      <rPr>
        <sz val="10.5"/>
        <color rgb="FFFF0000"/>
        <rFont val="Times New Roman"/>
        <charset val="134"/>
      </rPr>
      <t>85.15kg/a</t>
    </r>
    <r>
      <rPr>
        <sz val="10.5"/>
        <color rgb="FFFF0000"/>
        <rFont val="宋体"/>
        <charset val="134"/>
      </rPr>
      <t>，排放速率为</t>
    </r>
    <r>
      <rPr>
        <sz val="10.5"/>
        <color rgb="FFFF0000"/>
        <rFont val="Times New Roman"/>
        <charset val="134"/>
      </rPr>
      <t>0.05kg/h</t>
    </r>
    <r>
      <rPr>
        <sz val="10.5"/>
        <color rgb="FFFF0000"/>
        <rFont val="宋体"/>
        <charset val="134"/>
      </rPr>
      <t>，排放浓度为</t>
    </r>
    <r>
      <rPr>
        <sz val="10.5"/>
        <color rgb="FFFF0000"/>
        <rFont val="Times New Roman"/>
        <charset val="134"/>
      </rPr>
      <t>4.73mg/m</t>
    </r>
    <r>
      <rPr>
        <vertAlign val="superscript"/>
        <sz val="10.5"/>
        <color rgb="FFFF0000"/>
        <rFont val="Times New Roman"/>
        <charset val="134"/>
      </rPr>
      <t>3</t>
    </r>
    <r>
      <rPr>
        <sz val="10.5"/>
        <color rgb="FFFF0000"/>
        <rFont val="宋体"/>
        <charset val="134"/>
      </rPr>
      <t>。使用国家环境保护部推荐预测模型计算公式计算物的厂界排放浓度为</t>
    </r>
    <r>
      <rPr>
        <sz val="10.5"/>
        <color rgb="FFFF0000"/>
        <rFont val="Times New Roman"/>
        <charset val="134"/>
      </rPr>
      <t>0.003mg/m</t>
    </r>
    <r>
      <rPr>
        <vertAlign val="superscript"/>
        <sz val="10.5"/>
        <color rgb="FFFF0000"/>
        <rFont val="Times New Roman"/>
        <charset val="134"/>
      </rPr>
      <t>3</t>
    </r>
    <r>
      <rPr>
        <sz val="10.5"/>
        <color rgb="FFFF0000"/>
        <rFont val="宋体"/>
        <charset val="134"/>
      </rPr>
      <t>。有组织排放和无组织排放均满足《家具制造行业挥发性有机化合物排放标准》（</t>
    </r>
    <r>
      <rPr>
        <sz val="10.5"/>
        <color rgb="FFFF0000"/>
        <rFont val="Times New Roman"/>
        <charset val="134"/>
      </rPr>
      <t>DB44/814-2010</t>
    </r>
    <r>
      <rPr>
        <sz val="10.5"/>
        <color rgb="FFFF0000"/>
        <rFont val="宋体"/>
        <charset val="134"/>
      </rPr>
      <t>）第Ⅱ时段标准，</t>
    </r>
    <r>
      <rPr>
        <sz val="10.5"/>
        <color theme="1"/>
        <rFont val="宋体"/>
        <charset val="134"/>
      </rPr>
      <t>经大气稀释扩散后，预计不会对大气环境造成明显影响。</t>
    </r>
  </si>
  <si>
    <t>防潮油</t>
  </si>
  <si>
    <t>防潮油废气</t>
  </si>
  <si>
    <r>
      <rPr>
        <sz val="10.5"/>
        <color theme="1"/>
        <rFont val="Times New Roman"/>
        <charset val="134"/>
      </rPr>
      <t xml:space="preserve">根据《顺德区环境运输和城市管理局转发关于印发2014 </t>
    </r>
    <r>
      <rPr>
        <sz val="10.5"/>
        <color theme="1"/>
        <rFont val="宋体"/>
        <charset val="134"/>
      </rPr>
      <t>年佛山市陶瓷行业、玻璃制造行业、铝型材行业和</t>
    </r>
    <r>
      <rPr>
        <sz val="10.5"/>
        <color theme="1"/>
        <rFont val="Times New Roman"/>
        <charset val="134"/>
      </rPr>
      <t xml:space="preserve">VOCs </t>
    </r>
    <r>
      <rPr>
        <sz val="10.5"/>
        <color theme="1"/>
        <rFont val="宋体"/>
        <charset val="134"/>
      </rPr>
      <t>排放企业整治方案的通知》，防潮油废气参照执行《家具制造行业挥发性有机化合物排放标准》（</t>
    </r>
    <r>
      <rPr>
        <sz val="10.5"/>
        <color theme="1"/>
        <rFont val="Times New Roman"/>
        <charset val="134"/>
      </rPr>
      <t>DB44/814-2010</t>
    </r>
    <r>
      <rPr>
        <sz val="10.5"/>
        <color theme="1"/>
        <rFont val="宋体"/>
        <charset val="134"/>
      </rPr>
      <t>）标准。</t>
    </r>
  </si>
  <si>
    <r>
      <rPr>
        <sz val="10.5"/>
        <color rgb="FF000000"/>
        <rFont val="Times New Roman"/>
        <charset val="134"/>
      </rPr>
      <t>根据防潮油的成分，按有机废气挥发量为原料用量的</t>
    </r>
    <r>
      <rPr>
        <sz val="10.5"/>
        <color rgb="FFFF0000"/>
        <rFont val="Times New Roman"/>
        <charset val="134"/>
      </rPr>
      <t>42.3%</t>
    </r>
    <r>
      <rPr>
        <sz val="10.5"/>
        <color rgb="FFFF0000"/>
        <rFont val="宋体"/>
        <charset val="134"/>
      </rPr>
      <t>计算</t>
    </r>
    <r>
      <rPr>
        <sz val="10.5"/>
        <color rgb="FF000000"/>
        <rFont val="宋体"/>
        <charset val="134"/>
      </rPr>
      <t>。项目</t>
    </r>
    <r>
      <rPr>
        <sz val="10.5"/>
        <color rgb="FFFF0000"/>
        <rFont val="宋体"/>
        <charset val="134"/>
      </rPr>
      <t>年用防潮油</t>
    </r>
    <r>
      <rPr>
        <sz val="10.5"/>
        <color rgb="FFFF0000"/>
        <rFont val="Times New Roman"/>
        <charset val="134"/>
      </rPr>
      <t>0.1t</t>
    </r>
    <r>
      <rPr>
        <sz val="10.5"/>
        <color rgb="FF000000"/>
        <rFont val="宋体"/>
        <charset val="134"/>
      </rPr>
      <t>。建议将有机废气收集后于</t>
    </r>
    <r>
      <rPr>
        <sz val="10.5"/>
        <color rgb="FF000000"/>
        <rFont val="Times New Roman"/>
        <charset val="134"/>
      </rPr>
      <t>15</t>
    </r>
    <r>
      <rPr>
        <sz val="10.5"/>
        <color rgb="FF000000"/>
        <rFont val="宋体"/>
        <charset val="134"/>
      </rPr>
      <t>米排气筒排放。车间废气污染物</t>
    </r>
    <r>
      <rPr>
        <sz val="10.5"/>
        <color theme="1"/>
        <rFont val="宋体"/>
        <charset val="134"/>
      </rPr>
      <t>产生和排放情况如表</t>
    </r>
    <r>
      <rPr>
        <sz val="10.5"/>
        <color theme="1"/>
        <rFont val="Times New Roman"/>
        <charset val="134"/>
      </rPr>
      <t>5-1</t>
    </r>
    <r>
      <rPr>
        <sz val="10.5"/>
        <color theme="1"/>
        <rFont val="宋体"/>
        <charset val="134"/>
      </rPr>
      <t>。</t>
    </r>
  </si>
  <si>
    <r>
      <rPr>
        <sz val="10.5"/>
        <color theme="1"/>
        <rFont val="宋体"/>
        <charset val="134"/>
      </rPr>
      <t>电路板经测试合格后，需要人工刷上防潮油，使电路板能更好地储存。根据厂家提供的资料，防潮油中含有溶剂。溶剂挥发会产生总</t>
    </r>
    <r>
      <rPr>
        <sz val="10.5"/>
        <color theme="1"/>
        <rFont val="Times New Roman"/>
        <charset val="134"/>
      </rPr>
      <t>VOCs</t>
    </r>
    <r>
      <rPr>
        <sz val="10.5"/>
        <color theme="1"/>
        <rFont val="宋体"/>
        <charset val="134"/>
      </rPr>
      <t>。经核算，总</t>
    </r>
    <r>
      <rPr>
        <sz val="10.5"/>
        <color theme="1"/>
        <rFont val="Times New Roman"/>
        <charset val="134"/>
      </rPr>
      <t>VOCs</t>
    </r>
    <r>
      <rPr>
        <sz val="10.5"/>
        <color theme="1"/>
        <rFont val="宋体"/>
        <charset val="134"/>
      </rPr>
      <t>挥发量不大。建议项目在刷防潮油的工位上方设置集气罩，将废气收集后通过</t>
    </r>
    <r>
      <rPr>
        <sz val="10.5"/>
        <color theme="1"/>
        <rFont val="Times New Roman"/>
        <charset val="134"/>
      </rPr>
      <t>15m</t>
    </r>
    <r>
      <rPr>
        <sz val="10.5"/>
        <color theme="1"/>
        <rFont val="宋体"/>
        <charset val="134"/>
      </rPr>
      <t>排气筒排放。由污染源核算结果可知，</t>
    </r>
    <r>
      <rPr>
        <sz val="10.5"/>
        <color rgb="FFFF0000"/>
        <rFont val="宋体"/>
        <charset val="134"/>
      </rPr>
      <t>总</t>
    </r>
    <r>
      <rPr>
        <sz val="10.5"/>
        <color rgb="FFFF0000"/>
        <rFont val="Times New Roman"/>
        <charset val="134"/>
      </rPr>
      <t>VOCs</t>
    </r>
    <r>
      <rPr>
        <sz val="10.5"/>
        <color rgb="FFFF0000"/>
        <rFont val="宋体"/>
        <charset val="134"/>
      </rPr>
      <t>有组织排放量为</t>
    </r>
    <r>
      <rPr>
        <sz val="10.5"/>
        <color rgb="FFFF0000"/>
        <rFont val="Times New Roman"/>
        <charset val="134"/>
      </rPr>
      <t>85.15kg/a</t>
    </r>
    <r>
      <rPr>
        <sz val="10.5"/>
        <color rgb="FFFF0000"/>
        <rFont val="宋体"/>
        <charset val="134"/>
      </rPr>
      <t>，排放速率为</t>
    </r>
    <r>
      <rPr>
        <sz val="10.5"/>
        <color rgb="FFFF0000"/>
        <rFont val="Times New Roman"/>
        <charset val="134"/>
      </rPr>
      <t>0.05kg/h</t>
    </r>
    <r>
      <rPr>
        <sz val="10.5"/>
        <color rgb="FFFF0000"/>
        <rFont val="宋体"/>
        <charset val="134"/>
      </rPr>
      <t>，排放浓度为</t>
    </r>
    <r>
      <rPr>
        <sz val="10.5"/>
        <color rgb="FFFF0000"/>
        <rFont val="Times New Roman"/>
        <charset val="134"/>
      </rPr>
      <t>4.73mg/m</t>
    </r>
    <r>
      <rPr>
        <vertAlign val="superscript"/>
        <sz val="10.5"/>
        <color rgb="FFFF0000"/>
        <rFont val="Times New Roman"/>
        <charset val="134"/>
      </rPr>
      <t>3</t>
    </r>
    <r>
      <rPr>
        <sz val="10.5"/>
        <color rgb="FFFF0000"/>
        <rFont val="宋体"/>
        <charset val="134"/>
      </rPr>
      <t>。使用国家环境保护部推荐预测模型计算公式计算物的厂界排放浓度为</t>
    </r>
    <r>
      <rPr>
        <sz val="10.5"/>
        <color rgb="FFFF0000"/>
        <rFont val="Times New Roman"/>
        <charset val="134"/>
      </rPr>
      <t>0.003mg/m</t>
    </r>
    <r>
      <rPr>
        <vertAlign val="superscript"/>
        <sz val="10.5"/>
        <color rgb="FFFF0000"/>
        <rFont val="Times New Roman"/>
        <charset val="134"/>
      </rPr>
      <t>3</t>
    </r>
    <r>
      <rPr>
        <sz val="10.5"/>
        <color rgb="FFFF0000"/>
        <rFont val="宋体"/>
        <charset val="134"/>
      </rPr>
      <t>。有组织排放和无组织排放均满足《家具制造行业挥发性有机化合物排放标准》（</t>
    </r>
    <r>
      <rPr>
        <sz val="10.5"/>
        <color rgb="FFFF0000"/>
        <rFont val="Times New Roman"/>
        <charset val="134"/>
      </rPr>
      <t>DB44/814-2010</t>
    </r>
    <r>
      <rPr>
        <sz val="10.5"/>
        <color rgb="FFFF0000"/>
        <rFont val="宋体"/>
        <charset val="134"/>
      </rPr>
      <t>）第Ⅱ时段标准，对周围环境影响不大。</t>
    </r>
  </si>
  <si>
    <t>浸锡</t>
  </si>
  <si>
    <t>浸锡（焊锡）烟尘和VOCs</t>
  </si>
  <si>
    <r>
      <rPr>
        <sz val="10.5"/>
        <color theme="1"/>
        <rFont val="Times New Roman"/>
        <charset val="134"/>
      </rPr>
      <t>项目浸锡工序主要使用锡条、助焊剂作为焊料。锡条为无铅锡条，助焊剂的主要成分为酒精、松香和醇类溶剂。焊接过程锡条会产生少量浸锡烟尘，污染因子主要为锡及其化合物；同时浸锡工作时助焊剂会挥发产生有机废气VOCs</t>
    </r>
    <r>
      <rPr>
        <sz val="10.5"/>
        <color theme="1"/>
        <rFont val="宋体"/>
        <charset val="134"/>
      </rPr>
      <t>。废气收集后经</t>
    </r>
    <r>
      <rPr>
        <sz val="10.5"/>
        <color theme="1"/>
        <rFont val="Times New Roman"/>
        <charset val="134"/>
      </rPr>
      <t>15</t>
    </r>
    <r>
      <rPr>
        <sz val="10.5"/>
        <color theme="1"/>
        <rFont val="宋体"/>
        <charset val="134"/>
      </rPr>
      <t>米排气筒（</t>
    </r>
    <r>
      <rPr>
        <sz val="10.5"/>
        <color theme="1"/>
        <rFont val="Times New Roman"/>
        <charset val="134"/>
      </rPr>
      <t>G1</t>
    </r>
    <r>
      <rPr>
        <sz val="10.5"/>
        <color theme="1"/>
        <rFont val="宋体"/>
        <charset val="134"/>
      </rPr>
      <t>）排放。</t>
    </r>
    <r>
      <rPr>
        <sz val="10.5"/>
        <color theme="1"/>
        <rFont val="Times New Roman"/>
        <charset val="134"/>
      </rPr>
      <t xml:space="preserve">
</t>
    </r>
    <r>
      <rPr>
        <sz val="10.5"/>
        <color theme="1"/>
        <rFont val="宋体"/>
        <charset val="134"/>
      </rPr>
      <t>锡的熔点为</t>
    </r>
    <r>
      <rPr>
        <sz val="10.5"/>
        <color theme="1"/>
        <rFont val="Times New Roman"/>
        <charset val="134"/>
      </rPr>
      <t>231.9</t>
    </r>
    <r>
      <rPr>
        <sz val="10.5"/>
        <color theme="1"/>
        <rFont val="宋体"/>
        <charset val="134"/>
      </rPr>
      <t>℃，沸点为</t>
    </r>
    <r>
      <rPr>
        <sz val="10.5"/>
        <color theme="1"/>
        <rFont val="Times New Roman"/>
        <charset val="134"/>
      </rPr>
      <t>2260</t>
    </r>
    <r>
      <rPr>
        <sz val="10.5"/>
        <color theme="1"/>
        <rFont val="宋体"/>
        <charset val="134"/>
      </rPr>
      <t>℃。浸锡工作温度约为</t>
    </r>
    <r>
      <rPr>
        <sz val="10.5"/>
        <color theme="1"/>
        <rFont val="Times New Roman"/>
        <charset val="134"/>
      </rPr>
      <t>240</t>
    </r>
    <r>
      <rPr>
        <sz val="10.5"/>
        <color theme="1"/>
        <rFont val="宋体"/>
        <charset val="134"/>
      </rPr>
      <t>℃</t>
    </r>
    <r>
      <rPr>
        <sz val="10.5"/>
        <color theme="1"/>
        <rFont val="Times New Roman"/>
        <charset val="134"/>
      </rPr>
      <t>~260</t>
    </r>
    <r>
      <rPr>
        <sz val="10.5"/>
        <color theme="1"/>
        <rFont val="宋体"/>
        <charset val="134"/>
      </rPr>
      <t>℃，故浸锡烟尘中锡及其化合物的产生量比较少。根据参考《船舶工业劳动保护手册》</t>
    </r>
    <r>
      <rPr>
        <sz val="10.5"/>
        <color theme="1"/>
        <rFont val="Times New Roman"/>
        <charset val="134"/>
      </rPr>
      <t>(</t>
    </r>
    <r>
      <rPr>
        <sz val="10.5"/>
        <color theme="1"/>
        <rFont val="宋体"/>
        <charset val="134"/>
      </rPr>
      <t>上海工业出版社，</t>
    </r>
    <r>
      <rPr>
        <sz val="10.5"/>
        <color theme="1"/>
        <rFont val="Times New Roman"/>
        <charset val="134"/>
      </rPr>
      <t>1989</t>
    </r>
    <r>
      <rPr>
        <sz val="10.5"/>
        <color theme="1"/>
        <rFont val="宋体"/>
        <charset val="134"/>
      </rPr>
      <t>年第一版，江南造船厂科协</t>
    </r>
    <r>
      <rPr>
        <sz val="10.5"/>
        <color theme="1"/>
        <rFont val="Times New Roman"/>
        <charset val="134"/>
      </rPr>
      <t>)</t>
    </r>
    <r>
      <rPr>
        <sz val="10.5"/>
        <color theme="1"/>
        <rFont val="宋体"/>
        <charset val="134"/>
      </rPr>
      <t>及其同类型项目的类比分析，浸锡烟尘产生量按焊料用量</t>
    </r>
    <r>
      <rPr>
        <sz val="10.5"/>
        <color theme="1"/>
        <rFont val="Times New Roman"/>
        <charset val="134"/>
      </rPr>
      <t>10g/kg</t>
    </r>
    <r>
      <rPr>
        <sz val="10.5"/>
        <color theme="1"/>
        <rFont val="宋体"/>
        <charset val="134"/>
      </rPr>
      <t>计算，</t>
    </r>
    <r>
      <rPr>
        <sz val="10.5"/>
        <color rgb="FFFF0000"/>
        <rFont val="宋体"/>
        <charset val="134"/>
      </rPr>
      <t>项目锡条用量为</t>
    </r>
    <r>
      <rPr>
        <sz val="10.5"/>
        <color rgb="FFFF0000"/>
        <rFont val="Times New Roman"/>
        <charset val="134"/>
      </rPr>
      <t>0.2t/a</t>
    </r>
    <r>
      <rPr>
        <sz val="10.5"/>
        <color rgb="FFFF0000"/>
        <rFont val="宋体"/>
        <charset val="134"/>
      </rPr>
      <t>，浸锡工序每天工作</t>
    </r>
    <r>
      <rPr>
        <sz val="10.5"/>
        <color rgb="FFFF0000"/>
        <rFont val="Times New Roman"/>
        <charset val="134"/>
      </rPr>
      <t>6</t>
    </r>
    <r>
      <rPr>
        <sz val="10.5"/>
        <color rgb="FFFF0000"/>
        <rFont val="宋体"/>
        <charset val="134"/>
      </rPr>
      <t>小时，年工作</t>
    </r>
    <r>
      <rPr>
        <sz val="10.5"/>
        <color rgb="FFFF0000"/>
        <rFont val="Times New Roman"/>
        <charset val="134"/>
      </rPr>
      <t>300</t>
    </r>
    <r>
      <rPr>
        <sz val="10.5"/>
        <color rgb="FFFF0000"/>
        <rFont val="宋体"/>
        <charset val="134"/>
      </rPr>
      <t>天，则项目锡及其化合物产生量为</t>
    </r>
    <r>
      <rPr>
        <sz val="10.5"/>
        <color rgb="FFFF0000"/>
        <rFont val="Times New Roman"/>
        <charset val="134"/>
      </rPr>
      <t>2kg /a</t>
    </r>
    <r>
      <rPr>
        <sz val="10.5"/>
        <color rgb="FFFF0000"/>
        <rFont val="宋体"/>
        <charset val="134"/>
      </rPr>
      <t>，产生速率为</t>
    </r>
    <r>
      <rPr>
        <sz val="10.5"/>
        <color rgb="FFFF0000"/>
        <rFont val="Times New Roman"/>
        <charset val="134"/>
      </rPr>
      <t>0.001kg/h</t>
    </r>
    <r>
      <rPr>
        <sz val="10.5"/>
        <color rgb="FFFF0000"/>
        <rFont val="宋体"/>
        <charset val="134"/>
      </rPr>
      <t>。</t>
    </r>
    <r>
      <rPr>
        <sz val="10.5"/>
        <color theme="1"/>
        <rFont val="Times New Roman"/>
        <charset val="134"/>
      </rPr>
      <t xml:space="preserve">
</t>
    </r>
    <r>
      <rPr>
        <sz val="10.5"/>
        <color theme="1"/>
        <rFont val="宋体"/>
        <charset val="134"/>
      </rPr>
      <t>根据建设方提供的成分报告，助焊剂主要成分为混合醇溶剂占总含量的</t>
    </r>
    <r>
      <rPr>
        <sz val="10.5"/>
        <color theme="1"/>
        <rFont val="Times New Roman"/>
        <charset val="134"/>
      </rPr>
      <t>92.3%</t>
    </r>
    <r>
      <rPr>
        <sz val="10.5"/>
        <color theme="1"/>
        <rFont val="宋体"/>
        <charset val="134"/>
      </rPr>
      <t>等。易挥发成分主要为醇类溶剂，挥发系数按</t>
    </r>
    <r>
      <rPr>
        <sz val="10.5"/>
        <color theme="1"/>
        <rFont val="Times New Roman"/>
        <charset val="134"/>
      </rPr>
      <t>92.3%</t>
    </r>
    <r>
      <rPr>
        <sz val="10.5"/>
        <color theme="1"/>
        <rFont val="宋体"/>
        <charset val="134"/>
      </rPr>
      <t>计算</t>
    </r>
    <r>
      <rPr>
        <sz val="10.5"/>
        <color rgb="FFFF0000"/>
        <rFont val="宋体"/>
        <charset val="134"/>
      </rPr>
      <t>。项目浸锡助焊剂年用量约为</t>
    </r>
    <r>
      <rPr>
        <sz val="10.5"/>
        <color rgb="FFFF0000"/>
        <rFont val="Times New Roman"/>
        <charset val="134"/>
      </rPr>
      <t>50kg/a</t>
    </r>
    <r>
      <rPr>
        <sz val="10.5"/>
        <color rgb="FFFF0000"/>
        <rFont val="宋体"/>
        <charset val="134"/>
      </rPr>
      <t>，故总</t>
    </r>
    <r>
      <rPr>
        <sz val="10.5"/>
        <color rgb="FFFF0000"/>
        <rFont val="Times New Roman"/>
        <charset val="134"/>
      </rPr>
      <t>VOCs</t>
    </r>
    <r>
      <rPr>
        <sz val="10.5"/>
        <color rgb="FFFF0000"/>
        <rFont val="宋体"/>
        <charset val="134"/>
      </rPr>
      <t>产生量为</t>
    </r>
    <r>
      <rPr>
        <sz val="10.5"/>
        <color rgb="FFFF0000"/>
        <rFont val="Times New Roman"/>
        <charset val="134"/>
      </rPr>
      <t>46.15kg/a</t>
    </r>
    <r>
      <rPr>
        <sz val="10.5"/>
        <color rgb="FFFF0000"/>
        <rFont val="宋体"/>
        <charset val="134"/>
      </rPr>
      <t>，浸锡浸锡工序每天工作</t>
    </r>
    <r>
      <rPr>
        <sz val="10.5"/>
        <color rgb="FFFF0000"/>
        <rFont val="Times New Roman"/>
        <charset val="134"/>
      </rPr>
      <t>6</t>
    </r>
    <r>
      <rPr>
        <sz val="10.5"/>
        <color rgb="FFFF0000"/>
        <rFont val="宋体"/>
        <charset val="134"/>
      </rPr>
      <t>小时，年工作</t>
    </r>
    <r>
      <rPr>
        <sz val="10.5"/>
        <color rgb="FFFF0000"/>
        <rFont val="Times New Roman"/>
        <charset val="134"/>
      </rPr>
      <t>300</t>
    </r>
    <r>
      <rPr>
        <sz val="10.5"/>
        <color rgb="FFFF0000"/>
        <rFont val="宋体"/>
        <charset val="134"/>
      </rPr>
      <t>天，产生速率为</t>
    </r>
    <r>
      <rPr>
        <sz val="10.5"/>
        <color rgb="FFFF0000"/>
        <rFont val="Times New Roman"/>
        <charset val="134"/>
      </rPr>
      <t>0.026 kg/h</t>
    </r>
    <r>
      <rPr>
        <sz val="10.5"/>
        <color rgb="FFFF0000"/>
        <rFont val="宋体"/>
        <charset val="134"/>
      </rPr>
      <t>。</t>
    </r>
    <r>
      <rPr>
        <sz val="10.5"/>
        <color theme="1"/>
        <rFont val="Times New Roman"/>
        <charset val="134"/>
      </rPr>
      <t xml:space="preserve">
</t>
    </r>
  </si>
  <si>
    <r>
      <rPr>
        <sz val="10.5"/>
        <color theme="1"/>
        <rFont val="宋体"/>
        <charset val="134"/>
      </rPr>
      <t>浸锡工序：项目主要使用锡条、助焊剂作为焊料。锡条为无铅锡条，助焊剂的主要成分为酒精、松香和醇类溶剂。焊接过程锡条会产生少量浸锡烟尘，污染因子主要为锡及其化合物；同时浸锡工作时助焊剂会挥发产生有机废气</t>
    </r>
    <r>
      <rPr>
        <sz val="10.5"/>
        <color theme="1"/>
        <rFont val="Times New Roman"/>
        <charset val="134"/>
      </rPr>
      <t>VOCs</t>
    </r>
    <r>
      <rPr>
        <sz val="10.5"/>
        <color theme="1"/>
        <rFont val="宋体"/>
        <charset val="134"/>
      </rPr>
      <t>。</t>
    </r>
    <r>
      <rPr>
        <sz val="10.5"/>
        <color theme="1"/>
        <rFont val="Times New Roman"/>
        <charset val="134"/>
      </rPr>
      <t xml:space="preserve">
</t>
    </r>
    <r>
      <rPr>
        <sz val="10.5"/>
        <color theme="1"/>
        <rFont val="宋体"/>
        <charset val="134"/>
      </rPr>
      <t>项目拟将以上废气收集后通过不低于</t>
    </r>
    <r>
      <rPr>
        <sz val="10.5"/>
        <color theme="1"/>
        <rFont val="Times New Roman"/>
        <charset val="134"/>
      </rPr>
      <t>15m</t>
    </r>
    <r>
      <rPr>
        <sz val="10.5"/>
        <color theme="1"/>
        <rFont val="宋体"/>
        <charset val="134"/>
      </rPr>
      <t>的排气筒（</t>
    </r>
    <r>
      <rPr>
        <sz val="10.5"/>
        <color theme="1"/>
        <rFont val="Times New Roman"/>
        <charset val="134"/>
      </rPr>
      <t>1#</t>
    </r>
    <r>
      <rPr>
        <sz val="10.5"/>
        <color theme="1"/>
        <rFont val="宋体"/>
        <charset val="134"/>
      </rPr>
      <t>）排放，收集效率为</t>
    </r>
    <r>
      <rPr>
        <sz val="10.5"/>
        <color theme="1"/>
        <rFont val="Times New Roman"/>
        <charset val="134"/>
      </rPr>
      <t>90%</t>
    </r>
    <r>
      <rPr>
        <sz val="10.5"/>
        <color theme="1"/>
        <rFont val="宋体"/>
        <charset val="134"/>
      </rPr>
      <t>，处理效率为</t>
    </r>
    <r>
      <rPr>
        <sz val="10.5"/>
        <color theme="1"/>
        <rFont val="Times New Roman"/>
        <charset val="134"/>
      </rPr>
      <t>90%</t>
    </r>
    <r>
      <rPr>
        <sz val="10.5"/>
        <color theme="1"/>
        <rFont val="宋体"/>
        <charset val="134"/>
      </rPr>
      <t>，排气筒建议风量为</t>
    </r>
    <r>
      <rPr>
        <sz val="10.5"/>
        <color theme="1"/>
        <rFont val="Times New Roman"/>
        <charset val="134"/>
      </rPr>
      <t>10000 m</t>
    </r>
    <r>
      <rPr>
        <vertAlign val="superscript"/>
        <sz val="10.5"/>
        <color theme="1"/>
        <rFont val="Times New Roman"/>
        <charset val="134"/>
      </rPr>
      <t>3</t>
    </r>
    <r>
      <rPr>
        <sz val="10.5"/>
        <color theme="1"/>
        <rFont val="Times New Roman"/>
        <charset val="134"/>
      </rPr>
      <t>/h</t>
    </r>
    <r>
      <rPr>
        <sz val="10.5"/>
        <color theme="1"/>
        <rFont val="宋体"/>
        <charset val="134"/>
      </rPr>
      <t>。以上工序每天连续运行</t>
    </r>
    <r>
      <rPr>
        <sz val="10.5"/>
        <color theme="1"/>
        <rFont val="Times New Roman"/>
        <charset val="134"/>
      </rPr>
      <t>6</t>
    </r>
    <r>
      <rPr>
        <sz val="10.5"/>
        <color theme="1"/>
        <rFont val="宋体"/>
        <charset val="134"/>
      </rPr>
      <t>小时，年工作</t>
    </r>
    <r>
      <rPr>
        <sz val="10.5"/>
        <color theme="1"/>
        <rFont val="Times New Roman"/>
        <charset val="134"/>
      </rPr>
      <t>300</t>
    </r>
    <r>
      <rPr>
        <sz val="10.5"/>
        <color theme="1"/>
        <rFont val="宋体"/>
        <charset val="134"/>
      </rPr>
      <t>天。</t>
    </r>
    <r>
      <rPr>
        <sz val="10.5"/>
        <color theme="1"/>
        <rFont val="Times New Roman"/>
        <charset val="134"/>
      </rPr>
      <t xml:space="preserve">
</t>
    </r>
    <r>
      <rPr>
        <sz val="10.5"/>
        <color theme="1"/>
        <rFont val="宋体"/>
        <charset val="134"/>
      </rPr>
      <t>根据工程分析核算，项目排气筒</t>
    </r>
    <r>
      <rPr>
        <sz val="10.5"/>
        <color rgb="FFFF0000"/>
        <rFont val="宋体"/>
        <charset val="134"/>
      </rPr>
      <t>锡及其化合物有组织排放量为</t>
    </r>
    <r>
      <rPr>
        <sz val="10.5"/>
        <color rgb="FFFF0000"/>
        <rFont val="Times New Roman"/>
        <charset val="134"/>
      </rPr>
      <t>1.8kg/a</t>
    </r>
    <r>
      <rPr>
        <sz val="10.5"/>
        <color rgb="FFFF0000"/>
        <rFont val="宋体"/>
        <charset val="134"/>
      </rPr>
      <t>，排放速率为</t>
    </r>
    <r>
      <rPr>
        <sz val="10.5"/>
        <color rgb="FFFF0000"/>
        <rFont val="Times New Roman"/>
        <charset val="134"/>
      </rPr>
      <t>0.001kg/h</t>
    </r>
    <r>
      <rPr>
        <sz val="10.5"/>
        <color rgb="FFFF0000"/>
        <rFont val="宋体"/>
        <charset val="134"/>
      </rPr>
      <t>，排放浓度为</t>
    </r>
    <r>
      <rPr>
        <sz val="10.5"/>
        <color rgb="FFFF0000"/>
        <rFont val="Times New Roman"/>
        <charset val="134"/>
      </rPr>
      <t>0.1mg/m</t>
    </r>
    <r>
      <rPr>
        <vertAlign val="superscript"/>
        <sz val="10.5"/>
        <color rgb="FFFF0000"/>
        <rFont val="Times New Roman"/>
        <charset val="134"/>
      </rPr>
      <t>3</t>
    </r>
    <r>
      <rPr>
        <sz val="10.5"/>
        <color rgb="FFFF0000"/>
        <rFont val="宋体"/>
        <charset val="134"/>
      </rPr>
      <t>。使用国家环境保护部推荐预测模型计算公式计算物的厂界排放浓度为</t>
    </r>
    <r>
      <rPr>
        <sz val="10.5"/>
        <color rgb="FFFF0000"/>
        <rFont val="Times New Roman"/>
        <charset val="134"/>
      </rPr>
      <t>6.12×10</t>
    </r>
    <r>
      <rPr>
        <vertAlign val="superscript"/>
        <sz val="10.5"/>
        <color rgb="FFFF0000"/>
        <rFont val="Times New Roman"/>
        <charset val="134"/>
      </rPr>
      <t>-6</t>
    </r>
    <r>
      <rPr>
        <sz val="10.5"/>
        <color rgb="FFFF0000"/>
        <rFont val="Times New Roman"/>
        <charset val="134"/>
      </rPr>
      <t>mg/m</t>
    </r>
    <r>
      <rPr>
        <vertAlign val="superscript"/>
        <sz val="10.5"/>
        <color rgb="FFFF0000"/>
        <rFont val="Times New Roman"/>
        <charset val="134"/>
      </rPr>
      <t>3</t>
    </r>
    <r>
      <rPr>
        <sz val="10.5"/>
        <color theme="1"/>
        <rFont val="宋体"/>
        <charset val="134"/>
      </rPr>
      <t>。符合广东省地方标准《大气污染物排放限值》（</t>
    </r>
    <r>
      <rPr>
        <sz val="10.5"/>
        <color theme="1"/>
        <rFont val="Times New Roman"/>
        <charset val="134"/>
      </rPr>
      <t>DB44/27-2001</t>
    </r>
    <r>
      <rPr>
        <sz val="10.5"/>
        <color theme="1"/>
        <rFont val="宋体"/>
        <charset val="134"/>
      </rPr>
      <t>）中的锡及其化合物第二时段二级排放标准以及无组织排放时周界外浓度最高点浓度限值，对周围环境影响不大。</t>
    </r>
    <r>
      <rPr>
        <sz val="10.5"/>
        <color theme="1"/>
        <rFont val="Times New Roman"/>
        <charset val="134"/>
      </rPr>
      <t xml:space="preserve">
</t>
    </r>
    <r>
      <rPr>
        <sz val="10.5"/>
        <color theme="1"/>
        <rFont val="宋体"/>
        <charset val="134"/>
      </rPr>
      <t>排气筒</t>
    </r>
    <r>
      <rPr>
        <sz val="10.5"/>
        <color theme="1"/>
        <rFont val="Times New Roman"/>
        <charset val="134"/>
      </rPr>
      <t>G2 VOCs</t>
    </r>
    <r>
      <rPr>
        <sz val="10.5"/>
        <color rgb="FFFF0000"/>
        <rFont val="宋体"/>
        <charset val="134"/>
      </rPr>
      <t>有组织排放量为</t>
    </r>
    <r>
      <rPr>
        <sz val="10.5"/>
        <color rgb="FFFF0000"/>
        <rFont val="Times New Roman"/>
        <charset val="134"/>
      </rPr>
      <t>85.15kg/a</t>
    </r>
    <r>
      <rPr>
        <sz val="10.5"/>
        <color rgb="FFFF0000"/>
        <rFont val="宋体"/>
        <charset val="134"/>
      </rPr>
      <t>，排放速率为</t>
    </r>
    <r>
      <rPr>
        <sz val="10.5"/>
        <color rgb="FFFF0000"/>
        <rFont val="Times New Roman"/>
        <charset val="134"/>
      </rPr>
      <t>0.05kg/h</t>
    </r>
    <r>
      <rPr>
        <sz val="10.5"/>
        <color rgb="FFFF0000"/>
        <rFont val="宋体"/>
        <charset val="134"/>
      </rPr>
      <t>，排放浓度为</t>
    </r>
    <r>
      <rPr>
        <sz val="10.5"/>
        <color rgb="FFFF0000"/>
        <rFont val="Times New Roman"/>
        <charset val="134"/>
      </rPr>
      <t>4.73mg/m</t>
    </r>
    <r>
      <rPr>
        <vertAlign val="superscript"/>
        <sz val="10.5"/>
        <color rgb="FFFF0000"/>
        <rFont val="Times New Roman"/>
        <charset val="134"/>
      </rPr>
      <t>3</t>
    </r>
    <r>
      <rPr>
        <sz val="10.5"/>
        <color rgb="FFFF0000"/>
        <rFont val="宋体"/>
        <charset val="134"/>
      </rPr>
      <t>。使用国家环境保护部推荐预测模型计算公式计算物的厂界排放浓度为</t>
    </r>
    <r>
      <rPr>
        <sz val="10.5"/>
        <color rgb="FFFF0000"/>
        <rFont val="Times New Roman"/>
        <charset val="134"/>
      </rPr>
      <t>0.003mg/m</t>
    </r>
    <r>
      <rPr>
        <vertAlign val="superscript"/>
        <sz val="10.5"/>
        <color rgb="FFFF0000"/>
        <rFont val="Times New Roman"/>
        <charset val="134"/>
      </rPr>
      <t>3</t>
    </r>
    <r>
      <rPr>
        <sz val="10.5"/>
        <color rgb="FFFF0000"/>
        <rFont val="宋体"/>
        <charset val="134"/>
      </rPr>
      <t>。</t>
    </r>
    <r>
      <rPr>
        <sz val="10.5"/>
        <color theme="1"/>
        <rFont val="宋体"/>
        <charset val="134"/>
      </rPr>
      <t>有组织排放和无组织排放均满足《家具制造行业挥发性有机化合物排放标准》（</t>
    </r>
    <r>
      <rPr>
        <sz val="10.5"/>
        <color theme="1"/>
        <rFont val="Times New Roman"/>
        <charset val="134"/>
      </rPr>
      <t>DB44/814-2010</t>
    </r>
    <r>
      <rPr>
        <sz val="10.5"/>
        <color theme="1"/>
        <rFont val="宋体"/>
        <charset val="134"/>
      </rPr>
      <t>）第Ⅱ时段标准，对周围环境影响不大。</t>
    </r>
    <r>
      <rPr>
        <sz val="10.5"/>
        <color theme="1"/>
        <rFont val="Times New Roman"/>
        <charset val="134"/>
      </rPr>
      <t xml:space="preserve">
</t>
    </r>
  </si>
  <si>
    <t>助焊剂</t>
  </si>
  <si>
    <t>锡炉</t>
  </si>
  <si>
    <r>
      <rPr>
        <sz val="10.5"/>
        <color theme="1"/>
        <rFont val="Times New Roman"/>
        <charset val="134"/>
      </rPr>
      <t>浸锡（焊锡）产生的烟尘排放执行《广东省大气污染物排放限值》（DB44/27-2001</t>
    </r>
    <r>
      <rPr>
        <sz val="10.5"/>
        <color theme="1"/>
        <rFont val="宋体"/>
        <charset val="134"/>
      </rPr>
      <t>）第Ⅱ时段标准：锡及其化合物最高允许排放浓度</t>
    </r>
    <r>
      <rPr>
        <sz val="10.5"/>
        <color theme="1"/>
        <rFont val="Times New Roman"/>
        <charset val="134"/>
      </rPr>
      <t>8.5mg/m</t>
    </r>
    <r>
      <rPr>
        <vertAlign val="superscript"/>
        <sz val="10.5"/>
        <color theme="1"/>
        <rFont val="Times New Roman"/>
        <charset val="134"/>
      </rPr>
      <t>3</t>
    </r>
    <r>
      <rPr>
        <sz val="10.5"/>
        <color theme="1"/>
        <rFont val="宋体"/>
        <charset val="134"/>
      </rPr>
      <t>、最高允许排放速率</t>
    </r>
    <r>
      <rPr>
        <sz val="10.5"/>
        <color theme="1"/>
        <rFont val="Times New Roman"/>
        <charset val="134"/>
      </rPr>
      <t>0.25kg/h</t>
    </r>
    <r>
      <rPr>
        <sz val="10.5"/>
        <color theme="1"/>
        <rFont val="宋体"/>
        <charset val="134"/>
      </rPr>
      <t>；锡及其化合物无组织排放监控浓度限值</t>
    </r>
    <r>
      <rPr>
        <sz val="10.5"/>
        <color theme="1"/>
        <rFont val="Times New Roman"/>
        <charset val="134"/>
      </rPr>
      <t>0.24mg/m</t>
    </r>
    <r>
      <rPr>
        <vertAlign val="superscript"/>
        <sz val="10.5"/>
        <color theme="1"/>
        <rFont val="Times New Roman"/>
        <charset val="134"/>
      </rPr>
      <t>3</t>
    </r>
    <r>
      <rPr>
        <sz val="10.5"/>
        <color theme="1"/>
        <rFont val="宋体"/>
        <charset val="134"/>
      </rPr>
      <t>。</t>
    </r>
  </si>
  <si>
    <t>msds</t>
  </si>
  <si>
    <r>
      <rPr>
        <sz val="10.5"/>
        <color theme="1"/>
        <rFont val="宋体"/>
        <charset val="134"/>
      </rPr>
      <t>项目浸锡工序使用助焊剂会产生浸锡废气，用总</t>
    </r>
    <r>
      <rPr>
        <sz val="10.5"/>
        <color theme="1"/>
        <rFont val="Times New Roman"/>
        <charset val="134"/>
      </rPr>
      <t>VOCs</t>
    </r>
    <r>
      <rPr>
        <sz val="10.5"/>
        <color theme="1"/>
        <rFont val="宋体"/>
        <charset val="134"/>
      </rPr>
      <t>表示。根据项目提供资料，项目使用助焊剂的</t>
    </r>
    <r>
      <rPr>
        <sz val="10.5"/>
        <rFont val="宋体"/>
        <charset val="134"/>
      </rPr>
      <t>量为</t>
    </r>
    <r>
      <rPr>
        <sz val="10.5"/>
        <color rgb="FFFF0000"/>
        <rFont val="Times New Roman"/>
        <charset val="134"/>
      </rPr>
      <t>90kg</t>
    </r>
    <r>
      <rPr>
        <sz val="10.5"/>
        <rFont val="Times New Roman"/>
        <charset val="134"/>
      </rPr>
      <t>/a</t>
    </r>
    <r>
      <rPr>
        <sz val="10.5"/>
        <rFont val="宋体"/>
        <charset val="134"/>
      </rPr>
      <t>，助焊剂有机废气的排放系数为</t>
    </r>
    <r>
      <rPr>
        <sz val="10.5"/>
        <color rgb="FFFF0000"/>
        <rFont val="Times New Roman"/>
        <charset val="134"/>
      </rPr>
      <t>93.09%</t>
    </r>
    <r>
      <rPr>
        <sz val="10.5"/>
        <rFont val="宋体"/>
        <charset val="134"/>
      </rPr>
      <t>，则助焊剂</t>
    </r>
    <r>
      <rPr>
        <sz val="10.5"/>
        <rFont val="Times New Roman"/>
        <charset val="134"/>
      </rPr>
      <t>VOCs</t>
    </r>
    <r>
      <rPr>
        <sz val="10.5"/>
        <rFont val="宋体"/>
        <charset val="134"/>
      </rPr>
      <t>产生量为</t>
    </r>
    <r>
      <rPr>
        <sz val="10.5"/>
        <color rgb="FFFF0000"/>
        <rFont val="Times New Roman"/>
        <charset val="134"/>
      </rPr>
      <t>83.8kg/a</t>
    </r>
    <r>
      <rPr>
        <sz val="10.5"/>
        <color rgb="FFFF0000"/>
        <rFont val="宋体"/>
        <charset val="134"/>
      </rPr>
      <t>（</t>
    </r>
    <r>
      <rPr>
        <sz val="10.5"/>
        <color rgb="FFFF0000"/>
        <rFont val="Times New Roman"/>
        <charset val="134"/>
      </rPr>
      <t>0.0349kg/h</t>
    </r>
    <r>
      <rPr>
        <sz val="10.5"/>
        <color rgb="FFFF0000"/>
        <rFont val="宋体"/>
        <charset val="134"/>
      </rPr>
      <t>）</t>
    </r>
    <r>
      <rPr>
        <sz val="10.5"/>
        <rFont val="宋体"/>
        <charset val="134"/>
      </rPr>
      <t>。</t>
    </r>
  </si>
  <si>
    <r>
      <rPr>
        <sz val="10.5"/>
        <color theme="1"/>
        <rFont val="宋体"/>
        <charset val="134"/>
      </rPr>
      <t>项目浸锡工序使用助焊剂会产生浸锡废气，用总</t>
    </r>
    <r>
      <rPr>
        <sz val="10.5"/>
        <color theme="1"/>
        <rFont val="Times New Roman"/>
        <charset val="134"/>
      </rPr>
      <t>VOCs</t>
    </r>
    <r>
      <rPr>
        <sz val="10.5"/>
        <color theme="1"/>
        <rFont val="宋体"/>
        <charset val="134"/>
      </rPr>
      <t>表示。根据工艺分析可知，项目总</t>
    </r>
    <r>
      <rPr>
        <sz val="10.5"/>
        <color theme="1"/>
        <rFont val="Times New Roman"/>
        <charset val="134"/>
      </rPr>
      <t>VOCs</t>
    </r>
    <r>
      <rPr>
        <sz val="10.5"/>
        <color theme="1"/>
        <rFont val="宋体"/>
        <charset val="134"/>
      </rPr>
      <t>产生量为</t>
    </r>
    <r>
      <rPr>
        <sz val="10.5"/>
        <color rgb="FFFF0000"/>
        <rFont val="Times New Roman"/>
        <charset val="134"/>
      </rPr>
      <t>83.8kg/a</t>
    </r>
    <r>
      <rPr>
        <sz val="10.5"/>
        <color rgb="FFFF0000"/>
        <rFont val="宋体"/>
        <charset val="134"/>
      </rPr>
      <t>（</t>
    </r>
    <r>
      <rPr>
        <sz val="10.5"/>
        <color rgb="FFFF0000"/>
        <rFont val="Times New Roman"/>
        <charset val="134"/>
      </rPr>
      <t>0.0349kg/h</t>
    </r>
    <r>
      <rPr>
        <sz val="10.5"/>
        <color rgb="FFFF0000"/>
        <rFont val="宋体"/>
        <charset val="134"/>
      </rPr>
      <t>）</t>
    </r>
    <r>
      <rPr>
        <sz val="10.5"/>
        <color theme="1"/>
        <rFont val="宋体"/>
        <charset val="134"/>
      </rPr>
      <t>。</t>
    </r>
    <r>
      <rPr>
        <sz val="10.5"/>
        <color theme="1"/>
        <rFont val="Times New Roman"/>
        <charset val="134"/>
      </rPr>
      <t xml:space="preserve">
</t>
    </r>
    <r>
      <rPr>
        <sz val="10.5"/>
        <color theme="1"/>
        <rFont val="宋体"/>
        <charset val="134"/>
      </rPr>
      <t>环评要求项目在浸锡工序设置集气、排气系统，集气后经排气筒高空排放，排气筒高度为</t>
    </r>
    <r>
      <rPr>
        <sz val="10.5"/>
        <color theme="1"/>
        <rFont val="Times New Roman"/>
        <charset val="134"/>
      </rPr>
      <t>15m</t>
    </r>
    <r>
      <rPr>
        <sz val="10.5"/>
        <color theme="1"/>
        <rFont val="宋体"/>
        <charset val="134"/>
      </rPr>
      <t>，且应高出周围</t>
    </r>
    <r>
      <rPr>
        <sz val="10.5"/>
        <color theme="1"/>
        <rFont val="Times New Roman"/>
        <charset val="134"/>
      </rPr>
      <t>200m</t>
    </r>
    <r>
      <rPr>
        <sz val="10.5"/>
        <color theme="1"/>
        <rFont val="宋体"/>
        <charset val="134"/>
      </rPr>
      <t>半径范围的最高建筑</t>
    </r>
    <r>
      <rPr>
        <sz val="10.5"/>
        <color theme="1"/>
        <rFont val="Times New Roman"/>
        <charset val="134"/>
      </rPr>
      <t>5m</t>
    </r>
    <r>
      <rPr>
        <sz val="10.5"/>
        <color theme="1"/>
        <rFont val="宋体"/>
        <charset val="134"/>
      </rPr>
      <t>以上。排气风量按</t>
    </r>
    <r>
      <rPr>
        <sz val="10.5"/>
        <color rgb="FFFF0000"/>
        <rFont val="Times New Roman"/>
        <charset val="134"/>
      </rPr>
      <t>5000m</t>
    </r>
    <r>
      <rPr>
        <vertAlign val="superscript"/>
        <sz val="10.5"/>
        <color rgb="FFFF0000"/>
        <rFont val="Times New Roman"/>
        <charset val="134"/>
      </rPr>
      <t>3</t>
    </r>
    <r>
      <rPr>
        <sz val="10.5"/>
        <color rgb="FFFF0000"/>
        <rFont val="Times New Roman"/>
        <charset val="134"/>
      </rPr>
      <t>/h</t>
    </r>
    <r>
      <rPr>
        <sz val="10.5"/>
        <color rgb="FFFF0000"/>
        <rFont val="宋体"/>
        <charset val="134"/>
      </rPr>
      <t>计</t>
    </r>
    <r>
      <rPr>
        <sz val="10.5"/>
        <color theme="1"/>
        <rFont val="宋体"/>
        <charset val="134"/>
      </rPr>
      <t>，集气罩收集效率</t>
    </r>
    <r>
      <rPr>
        <sz val="10.5"/>
        <color theme="1"/>
        <rFont val="Times New Roman"/>
        <charset val="134"/>
      </rPr>
      <t>90%</t>
    </r>
    <r>
      <rPr>
        <sz val="10.5"/>
        <color theme="1"/>
        <rFont val="宋体"/>
        <charset val="134"/>
      </rPr>
      <t>，其余</t>
    </r>
    <r>
      <rPr>
        <sz val="10.5"/>
        <color theme="1"/>
        <rFont val="Times New Roman"/>
        <charset val="134"/>
      </rPr>
      <t>10%</t>
    </r>
    <r>
      <rPr>
        <sz val="10.5"/>
        <color theme="1"/>
        <rFont val="宋体"/>
        <charset val="134"/>
      </rPr>
      <t>为无组织排放。则污染物有组织及无组织排放情况见下表：项目产生的有机废气能够达到广东省地方标准《家具制造行业挥发性有机化合物排放标准》（</t>
    </r>
    <r>
      <rPr>
        <sz val="10.5"/>
        <color theme="1"/>
        <rFont val="Times New Roman"/>
        <charset val="134"/>
      </rPr>
      <t>DB44/814-2010</t>
    </r>
    <r>
      <rPr>
        <sz val="10.5"/>
        <color theme="1"/>
        <rFont val="宋体"/>
        <charset val="134"/>
      </rPr>
      <t>）第Ⅱ时段标准要求，对员工以及周围环境的影响很小。</t>
    </r>
  </si>
  <si>
    <t>塑料</t>
  </si>
  <si>
    <t>破碎</t>
  </si>
  <si>
    <t>破碎粉尘</t>
  </si>
  <si>
    <r>
      <rPr>
        <sz val="10.5"/>
        <color theme="1"/>
        <rFont val="Times New Roman"/>
        <charset val="134"/>
      </rPr>
      <t>破碎工序产生的粉尘执行《合成树脂工业污染物排放标准》（GB31572-2015</t>
    </r>
    <r>
      <rPr>
        <sz val="10.5"/>
        <color theme="1"/>
        <rFont val="宋体"/>
        <charset val="134"/>
      </rPr>
      <t>）表</t>
    </r>
    <r>
      <rPr>
        <sz val="10.5"/>
        <color theme="1"/>
        <rFont val="Times New Roman"/>
        <charset val="134"/>
      </rPr>
      <t>4</t>
    </r>
    <r>
      <rPr>
        <sz val="10.5"/>
        <color theme="1"/>
        <rFont val="宋体"/>
        <charset val="134"/>
      </rPr>
      <t>大气污染物排放限值和表</t>
    </r>
    <r>
      <rPr>
        <sz val="10.5"/>
        <color theme="1"/>
        <rFont val="Times New Roman"/>
        <charset val="134"/>
      </rPr>
      <t>9</t>
    </r>
    <r>
      <rPr>
        <sz val="10.5"/>
        <color theme="1"/>
        <rFont val="宋体"/>
        <charset val="134"/>
      </rPr>
      <t>企业边界大气污染物浓度限值。</t>
    </r>
  </si>
  <si>
    <r>
      <rPr>
        <sz val="10.5"/>
        <color theme="1"/>
        <rFont val="宋体"/>
        <charset val="134"/>
      </rPr>
      <t>项目所使用的</t>
    </r>
    <r>
      <rPr>
        <sz val="10.5"/>
        <color rgb="FFFF0000"/>
        <rFont val="Times New Roman"/>
        <charset val="134"/>
      </rPr>
      <t>ABS</t>
    </r>
    <r>
      <rPr>
        <sz val="10.5"/>
        <color rgb="FFFF0000"/>
        <rFont val="宋体"/>
        <charset val="134"/>
      </rPr>
      <t>、</t>
    </r>
    <r>
      <rPr>
        <sz val="10.5"/>
        <color rgb="FFFF0000"/>
        <rFont val="Times New Roman"/>
        <charset val="134"/>
      </rPr>
      <t>PC</t>
    </r>
    <r>
      <rPr>
        <sz val="10.5"/>
        <color rgb="FFFF0000"/>
        <rFont val="宋体"/>
        <charset val="134"/>
      </rPr>
      <t>、</t>
    </r>
    <r>
      <rPr>
        <sz val="10.5"/>
        <color rgb="FFFF0000"/>
        <rFont val="Times New Roman"/>
        <charset val="134"/>
      </rPr>
      <t>AS</t>
    </r>
    <r>
      <rPr>
        <sz val="10.5"/>
        <color theme="1"/>
        <rFont val="宋体"/>
        <charset val="134"/>
      </rPr>
      <t>等塑料均是固体粒料，投料时无粉尘产生。因混料机操作时密封运行，混合过程中基本不会有粉尘外逸至车间。故投料和混料时粉尘产生量不大，予以忽略不计。项目设有</t>
    </r>
    <r>
      <rPr>
        <sz val="10.5"/>
        <color theme="1"/>
        <rFont val="Times New Roman"/>
        <charset val="134"/>
      </rPr>
      <t>2</t>
    </r>
    <r>
      <rPr>
        <sz val="10.5"/>
        <color theme="1"/>
        <rFont val="宋体"/>
        <charset val="134"/>
      </rPr>
      <t>台破碎机，将产生的塑料次品及边角料经破碎机处理后回用于生产，破碎机放置在破碎车间内。项目破碎塑料占原料约</t>
    </r>
    <r>
      <rPr>
        <sz val="10.5"/>
        <color theme="1"/>
        <rFont val="Times New Roman"/>
        <charset val="134"/>
      </rPr>
      <t>5%</t>
    </r>
    <r>
      <rPr>
        <sz val="10.5"/>
        <color theme="1"/>
        <rFont val="宋体"/>
        <charset val="134"/>
      </rPr>
      <t>，</t>
    </r>
    <r>
      <rPr>
        <sz val="10.5"/>
        <color rgb="FFFF0000"/>
        <rFont val="宋体"/>
        <charset val="134"/>
      </rPr>
      <t>年加工原料量是</t>
    </r>
    <r>
      <rPr>
        <sz val="10.5"/>
        <color rgb="FFFF0000"/>
        <rFont val="Times New Roman"/>
        <charset val="134"/>
      </rPr>
      <t>363t</t>
    </r>
    <r>
      <rPr>
        <sz val="10.5"/>
        <color rgb="FFFF0000"/>
        <rFont val="宋体"/>
        <charset val="134"/>
      </rPr>
      <t>，故需要破碎的塑料量为</t>
    </r>
    <r>
      <rPr>
        <sz val="10.5"/>
        <color rgb="FFFF0000"/>
        <rFont val="Times New Roman"/>
        <charset val="134"/>
      </rPr>
      <t>18 t/a</t>
    </r>
    <r>
      <rPr>
        <sz val="10.5"/>
        <color theme="1"/>
        <rFont val="宋体"/>
        <charset val="134"/>
      </rPr>
      <t>，每天约破碎</t>
    </r>
    <r>
      <rPr>
        <sz val="10.5"/>
        <color theme="1"/>
        <rFont val="Times New Roman"/>
        <charset val="134"/>
      </rPr>
      <t>1</t>
    </r>
    <r>
      <rPr>
        <sz val="10.5"/>
        <color theme="1"/>
        <rFont val="宋体"/>
        <charset val="134"/>
      </rPr>
      <t>次，</t>
    </r>
    <r>
      <rPr>
        <sz val="10.5"/>
        <color rgb="FFFF0000"/>
        <rFont val="宋体"/>
        <charset val="134"/>
      </rPr>
      <t>每次最大破碎塑料量是</t>
    </r>
    <r>
      <rPr>
        <sz val="10.5"/>
        <color rgb="FFFF0000"/>
        <rFont val="Times New Roman"/>
        <charset val="134"/>
      </rPr>
      <t>60 kg</t>
    </r>
    <r>
      <rPr>
        <sz val="10.5"/>
        <color rgb="FFFF0000"/>
        <rFont val="宋体"/>
        <charset val="134"/>
      </rPr>
      <t>，颗粒物产生系数约占塑料</t>
    </r>
    <r>
      <rPr>
        <sz val="10.5"/>
        <color rgb="FFFF0000"/>
        <rFont val="Times New Roman"/>
        <charset val="134"/>
      </rPr>
      <t>1%</t>
    </r>
    <r>
      <rPr>
        <sz val="10.5"/>
        <color rgb="FFFF0000"/>
        <rFont val="宋体"/>
        <charset val="134"/>
      </rPr>
      <t>，每次破碎</t>
    </r>
    <r>
      <rPr>
        <sz val="10.5"/>
        <color rgb="FFFF0000"/>
        <rFont val="Times New Roman"/>
        <charset val="134"/>
      </rPr>
      <t>4.0 h</t>
    </r>
    <r>
      <rPr>
        <sz val="10.5"/>
        <color rgb="FFFF0000"/>
        <rFont val="宋体"/>
        <charset val="134"/>
      </rPr>
      <t>，颗粒物的产生速率为</t>
    </r>
    <r>
      <rPr>
        <sz val="10.5"/>
        <color rgb="FFFF0000"/>
        <rFont val="Times New Roman"/>
        <charset val="134"/>
      </rPr>
      <t>0.15 kg/h</t>
    </r>
    <r>
      <rPr>
        <sz val="10.5"/>
        <color rgb="FFFF0000"/>
        <rFont val="宋体"/>
        <charset val="134"/>
      </rPr>
      <t>，年产生和排放粉尘量为</t>
    </r>
    <r>
      <rPr>
        <sz val="10.5"/>
        <color rgb="FFFF0000"/>
        <rFont val="Times New Roman"/>
        <charset val="134"/>
      </rPr>
      <t>180 kg/a</t>
    </r>
    <r>
      <rPr>
        <sz val="10.5"/>
        <color rgb="FFFF0000"/>
        <rFont val="宋体"/>
        <charset val="134"/>
      </rPr>
      <t>。</t>
    </r>
    <r>
      <rPr>
        <sz val="10.5"/>
        <color theme="1"/>
        <rFont val="宋体"/>
        <charset val="134"/>
      </rPr>
      <t>破碎粉尘的产生量不大，经车间排气扇无组织排出。</t>
    </r>
  </si>
  <si>
    <r>
      <rPr>
        <sz val="10.5"/>
        <color theme="1"/>
        <rFont val="宋体"/>
        <charset val="134"/>
      </rPr>
      <t>环评要求项目在浸锡工序设置集气、排气系统，集气后经排气筒高空排放，排气筒高度为</t>
    </r>
    <r>
      <rPr>
        <sz val="10.5"/>
        <color theme="1"/>
        <rFont val="Times New Roman"/>
        <charset val="134"/>
      </rPr>
      <t>15m</t>
    </r>
    <r>
      <rPr>
        <sz val="10.5"/>
        <color theme="1"/>
        <rFont val="宋体"/>
        <charset val="134"/>
      </rPr>
      <t>，且应高出周围</t>
    </r>
    <r>
      <rPr>
        <sz val="10.5"/>
        <color theme="1"/>
        <rFont val="Times New Roman"/>
        <charset val="134"/>
      </rPr>
      <t>200m</t>
    </r>
    <r>
      <rPr>
        <sz val="10.5"/>
        <color theme="1"/>
        <rFont val="宋体"/>
        <charset val="134"/>
      </rPr>
      <t>半径范围的最高建筑</t>
    </r>
    <r>
      <rPr>
        <sz val="10.5"/>
        <color theme="1"/>
        <rFont val="Times New Roman"/>
        <charset val="134"/>
      </rPr>
      <t>5m</t>
    </r>
    <r>
      <rPr>
        <sz val="10.5"/>
        <color theme="1"/>
        <rFont val="宋体"/>
        <charset val="134"/>
      </rPr>
      <t>以上。排气风量按</t>
    </r>
    <r>
      <rPr>
        <sz val="10.5"/>
        <color theme="1"/>
        <rFont val="Times New Roman"/>
        <charset val="134"/>
      </rPr>
      <t>5000m</t>
    </r>
    <r>
      <rPr>
        <vertAlign val="superscript"/>
        <sz val="10.5"/>
        <color theme="1"/>
        <rFont val="Times New Roman"/>
        <charset val="134"/>
      </rPr>
      <t>3</t>
    </r>
    <r>
      <rPr>
        <sz val="10.5"/>
        <color theme="1"/>
        <rFont val="Times New Roman"/>
        <charset val="134"/>
      </rPr>
      <t>/h</t>
    </r>
    <r>
      <rPr>
        <sz val="10.5"/>
        <color theme="1"/>
        <rFont val="宋体"/>
        <charset val="134"/>
      </rPr>
      <t>计，集气罩收集效率</t>
    </r>
    <r>
      <rPr>
        <sz val="10.5"/>
        <color theme="1"/>
        <rFont val="Times New Roman"/>
        <charset val="134"/>
      </rPr>
      <t>90%</t>
    </r>
    <r>
      <rPr>
        <sz val="10.5"/>
        <color theme="1"/>
        <rFont val="宋体"/>
        <charset val="134"/>
      </rPr>
      <t>，其余</t>
    </r>
    <r>
      <rPr>
        <sz val="10.5"/>
        <color theme="1"/>
        <rFont val="Times New Roman"/>
        <charset val="134"/>
      </rPr>
      <t>10%</t>
    </r>
    <r>
      <rPr>
        <sz val="10.5"/>
        <color theme="1"/>
        <rFont val="宋体"/>
        <charset val="134"/>
      </rPr>
      <t>为无组织排放。则污染物有组织及无组织排放情况见下表：</t>
    </r>
  </si>
  <si>
    <t>建议在碎料机投料口加盖、出料口采用袋式出口，以减少塑料粉尘的飘散</t>
  </si>
  <si>
    <r>
      <rPr>
        <sz val="10.5"/>
        <color theme="1"/>
        <rFont val="Times New Roman"/>
        <charset val="134"/>
      </rPr>
      <t>PA</t>
    </r>
    <r>
      <rPr>
        <sz val="10.5"/>
        <color theme="1"/>
        <rFont val="宋体"/>
        <charset val="134"/>
      </rPr>
      <t>尼龙</t>
    </r>
  </si>
  <si>
    <t>注塑</t>
  </si>
  <si>
    <t>注塑异味</t>
  </si>
  <si>
    <t>均安</t>
  </si>
  <si>
    <r>
      <rPr>
        <sz val="10.5"/>
        <color theme="1"/>
        <rFont val="Times New Roman"/>
        <charset val="134"/>
      </rPr>
      <t>PA</t>
    </r>
    <r>
      <rPr>
        <sz val="10.5"/>
        <color theme="1"/>
        <rFont val="宋体"/>
        <charset val="134"/>
      </rPr>
      <t>塑料粒注塑产生的异味执行《恶臭污染物排放标准》（</t>
    </r>
    <r>
      <rPr>
        <sz val="10.5"/>
        <color theme="1"/>
        <rFont val="Times New Roman"/>
        <charset val="134"/>
      </rPr>
      <t>GB14554-93</t>
    </r>
    <r>
      <rPr>
        <sz val="10.5"/>
        <color theme="1"/>
        <rFont val="宋体"/>
        <charset val="134"/>
      </rPr>
      <t>）中恶臭污染物厂界标准值的二级新扩改建标准：臭气浓度</t>
    </r>
    <r>
      <rPr>
        <sz val="10.5"/>
        <color theme="1"/>
        <rFont val="Times New Roman"/>
        <charset val="134"/>
      </rPr>
      <t>≤20</t>
    </r>
    <r>
      <rPr>
        <sz val="10.5"/>
        <color theme="1"/>
        <rFont val="宋体"/>
        <charset val="134"/>
      </rPr>
      <t>（无量纲）。</t>
    </r>
  </si>
  <si>
    <r>
      <rPr>
        <sz val="10.5"/>
        <color theme="1"/>
        <rFont val="Times New Roman"/>
        <charset val="134"/>
      </rPr>
      <t>项目使用PA</t>
    </r>
    <r>
      <rPr>
        <sz val="10.5"/>
        <color theme="1"/>
        <rFont val="宋体"/>
        <charset val="134"/>
      </rPr>
      <t>塑料粒进行注塑会产生异味，其污染因子为氨和臭气浓度。</t>
    </r>
    <r>
      <rPr>
        <sz val="10.5"/>
        <color theme="1"/>
        <rFont val="Times New Roman"/>
        <charset val="134"/>
      </rPr>
      <t>PA</t>
    </r>
    <r>
      <rPr>
        <sz val="10.5"/>
        <color theme="1"/>
        <rFont val="宋体"/>
        <charset val="134"/>
      </rPr>
      <t>塑料粒产生的注塑废气经集气罩收集后，通过一个</t>
    </r>
    <r>
      <rPr>
        <sz val="10.5"/>
        <color theme="1"/>
        <rFont val="Times New Roman"/>
        <charset val="134"/>
      </rPr>
      <t>15</t>
    </r>
    <r>
      <rPr>
        <sz val="10.5"/>
        <color theme="1"/>
        <rFont val="宋体"/>
        <charset val="134"/>
      </rPr>
      <t>米高排气筒高空排放。类比同类项目，项目注塑工序产生的氨有组织排放浓度</t>
    </r>
    <r>
      <rPr>
        <sz val="10.5"/>
        <color theme="1"/>
        <rFont val="Times New Roman"/>
        <charset val="134"/>
      </rPr>
      <t>≤30mg/m</t>
    </r>
    <r>
      <rPr>
        <vertAlign val="superscript"/>
        <sz val="10.5"/>
        <color theme="1"/>
        <rFont val="Times New Roman"/>
        <charset val="134"/>
      </rPr>
      <t>3</t>
    </r>
    <r>
      <rPr>
        <sz val="10.5"/>
        <color theme="1"/>
        <rFont val="宋体"/>
        <charset val="134"/>
      </rPr>
      <t>，厂界臭气浓度</t>
    </r>
    <r>
      <rPr>
        <sz val="10.5"/>
        <color theme="1"/>
        <rFont val="Times New Roman"/>
        <charset val="134"/>
      </rPr>
      <t>≤20</t>
    </r>
    <r>
      <rPr>
        <sz val="10.5"/>
        <color theme="1"/>
        <rFont val="宋体"/>
        <charset val="134"/>
      </rPr>
      <t>（无量纲）。</t>
    </r>
  </si>
  <si>
    <r>
      <rPr>
        <sz val="10.5"/>
        <color theme="1"/>
        <rFont val="宋体"/>
        <charset val="134"/>
      </rPr>
      <t>项目使用</t>
    </r>
    <r>
      <rPr>
        <sz val="10.5"/>
        <color theme="1"/>
        <rFont val="Times New Roman"/>
        <charset val="134"/>
      </rPr>
      <t>PA</t>
    </r>
    <r>
      <rPr>
        <sz val="10.5"/>
        <color theme="1"/>
        <rFont val="宋体"/>
        <charset val="134"/>
      </rPr>
      <t>塑料粒进行注塑会产生异味，其污染因子为氨和臭气浓度。</t>
    </r>
    <r>
      <rPr>
        <sz val="10.5"/>
        <color theme="1"/>
        <rFont val="Times New Roman"/>
        <charset val="134"/>
      </rPr>
      <t>PA</t>
    </r>
    <r>
      <rPr>
        <sz val="10.5"/>
        <color theme="1"/>
        <rFont val="宋体"/>
        <charset val="134"/>
      </rPr>
      <t>产生的注塑废气经集气罩收集后，通过一个</t>
    </r>
    <r>
      <rPr>
        <sz val="10.5"/>
        <color theme="1"/>
        <rFont val="Times New Roman"/>
        <charset val="134"/>
      </rPr>
      <t>15</t>
    </r>
    <r>
      <rPr>
        <sz val="10.5"/>
        <color theme="1"/>
        <rFont val="宋体"/>
        <charset val="134"/>
      </rPr>
      <t>米高排气筒高空排放。类比同类项目，项目注塑工序产生的氨有组织排放浓度</t>
    </r>
    <r>
      <rPr>
        <sz val="10.5"/>
        <color theme="1"/>
        <rFont val="Times New Roman"/>
        <charset val="134"/>
      </rPr>
      <t>≤30mg/m</t>
    </r>
    <r>
      <rPr>
        <vertAlign val="superscript"/>
        <sz val="10.5"/>
        <color theme="1"/>
        <rFont val="Times New Roman"/>
        <charset val="134"/>
      </rPr>
      <t>3</t>
    </r>
    <r>
      <rPr>
        <sz val="10.5"/>
        <color theme="1"/>
        <rFont val="宋体"/>
        <charset val="134"/>
      </rPr>
      <t>，低于《合成树脂工业污染物排放标准》（</t>
    </r>
    <r>
      <rPr>
        <sz val="10.5"/>
        <color theme="1"/>
        <rFont val="Times New Roman"/>
        <charset val="134"/>
      </rPr>
      <t>GB31572-2015</t>
    </r>
    <r>
      <rPr>
        <sz val="10.5"/>
        <color theme="1"/>
        <rFont val="宋体"/>
        <charset val="134"/>
      </rPr>
      <t>）中表</t>
    </r>
    <r>
      <rPr>
        <sz val="10.5"/>
        <color theme="1"/>
        <rFont val="Times New Roman"/>
        <charset val="134"/>
      </rPr>
      <t>4</t>
    </r>
    <r>
      <rPr>
        <sz val="10.5"/>
        <color theme="1"/>
        <rFont val="宋体"/>
        <charset val="134"/>
      </rPr>
      <t>规定的大气污染物氨的排放限值；厂界臭气浓度</t>
    </r>
    <r>
      <rPr>
        <sz val="10.5"/>
        <color theme="1"/>
        <rFont val="Times New Roman"/>
        <charset val="134"/>
      </rPr>
      <t>≤20</t>
    </r>
    <r>
      <rPr>
        <sz val="10.5"/>
        <color theme="1"/>
        <rFont val="宋体"/>
        <charset val="134"/>
      </rPr>
      <t>（无量纲），低于《恶臭污染物排放标准》（</t>
    </r>
    <r>
      <rPr>
        <sz val="10.5"/>
        <color theme="1"/>
        <rFont val="Times New Roman"/>
        <charset val="134"/>
      </rPr>
      <t>GB14554-93</t>
    </r>
    <r>
      <rPr>
        <sz val="10.5"/>
        <color theme="1"/>
        <rFont val="宋体"/>
        <charset val="134"/>
      </rPr>
      <t>）中恶臭污染物厂界标准值的二级新扩改建标准要求，企业加强车间通风换气措施，对周围环境影响不大。</t>
    </r>
  </si>
  <si>
    <t>杏坛</t>
  </si>
  <si>
    <r>
      <rPr>
        <sz val="10.5"/>
        <color rgb="FFFF0000"/>
        <rFont val="Times New Roman"/>
        <charset val="134"/>
      </rPr>
      <t>注塑（挤出、吸塑）</t>
    </r>
    <r>
      <rPr>
        <sz val="10.5"/>
        <color theme="1"/>
        <rFont val="宋体"/>
        <charset val="134"/>
      </rPr>
      <t>产生的有机废气执行《合成树脂工业污染物排放标准》（</t>
    </r>
    <r>
      <rPr>
        <sz val="10.5"/>
        <color theme="1"/>
        <rFont val="Times New Roman"/>
        <charset val="134"/>
      </rPr>
      <t>GB31572-2015</t>
    </r>
    <r>
      <rPr>
        <sz val="10.5"/>
        <color theme="1"/>
        <rFont val="宋体"/>
        <charset val="134"/>
      </rPr>
      <t>）表</t>
    </r>
    <r>
      <rPr>
        <sz val="10.5"/>
        <color theme="1"/>
        <rFont val="Times New Roman"/>
        <charset val="134"/>
      </rPr>
      <t>4</t>
    </r>
    <r>
      <rPr>
        <sz val="10.5"/>
        <color theme="1"/>
        <rFont val="宋体"/>
        <charset val="134"/>
      </rPr>
      <t>大气污染物排放限值和表</t>
    </r>
    <r>
      <rPr>
        <sz val="10.5"/>
        <color theme="1"/>
        <rFont val="Times New Roman"/>
        <charset val="134"/>
      </rPr>
      <t>9</t>
    </r>
    <r>
      <rPr>
        <sz val="10.5"/>
        <color theme="1"/>
        <rFont val="宋体"/>
        <charset val="134"/>
      </rPr>
      <t>企业边界大气污染物浓度限值。</t>
    </r>
  </si>
  <si>
    <t>低温等离子处理设施</t>
  </si>
  <si>
    <r>
      <rPr>
        <sz val="10.5"/>
        <color theme="1"/>
        <rFont val="宋体"/>
        <charset val="134"/>
      </rPr>
      <t>项目生产时不涉及废旧塑料的使用，注塑时时会产生有机废气，其污染因子主要为非甲烷总烃。根据《空气污染物排放和控制手册》（美国国家环保局）中推荐的公式塑料加工废气排放系数，非甲烷总烃排放系数为</t>
    </r>
    <r>
      <rPr>
        <sz val="10.5"/>
        <color theme="1"/>
        <rFont val="Times New Roman"/>
        <charset val="134"/>
      </rPr>
      <t>0.35 kg/t</t>
    </r>
    <r>
      <rPr>
        <sz val="10.5"/>
        <color theme="1"/>
        <rFont val="宋体"/>
        <charset val="134"/>
      </rPr>
      <t>树脂原料。项目年使用</t>
    </r>
    <r>
      <rPr>
        <sz val="10.5"/>
        <color rgb="FFFF0000"/>
        <rFont val="Times New Roman"/>
        <charset val="134"/>
      </rPr>
      <t>ABS</t>
    </r>
    <r>
      <rPr>
        <sz val="10.5"/>
        <color rgb="FFFF0000"/>
        <rFont val="宋体"/>
        <charset val="134"/>
      </rPr>
      <t>、</t>
    </r>
    <r>
      <rPr>
        <sz val="10.5"/>
        <color rgb="FFFF0000"/>
        <rFont val="Times New Roman"/>
        <charset val="134"/>
      </rPr>
      <t>PC</t>
    </r>
    <r>
      <rPr>
        <sz val="10.5"/>
        <color rgb="FFFF0000"/>
        <rFont val="宋体"/>
        <charset val="134"/>
      </rPr>
      <t>、</t>
    </r>
    <r>
      <rPr>
        <sz val="10.5"/>
        <color rgb="FFFF0000"/>
        <rFont val="Times New Roman"/>
        <charset val="134"/>
      </rPr>
      <t>AS</t>
    </r>
    <r>
      <rPr>
        <sz val="10.5"/>
        <color theme="1"/>
        <rFont val="宋体"/>
        <charset val="134"/>
      </rPr>
      <t>等塑料总使用量是</t>
    </r>
    <r>
      <rPr>
        <sz val="10.5"/>
        <color rgb="FFFF0000"/>
        <rFont val="Times New Roman"/>
        <charset val="134"/>
      </rPr>
      <t>363 t</t>
    </r>
    <r>
      <rPr>
        <sz val="10.5"/>
        <color theme="1"/>
        <rFont val="宋体"/>
        <charset val="134"/>
      </rPr>
      <t>，非甲烷总烃产生量是</t>
    </r>
    <r>
      <rPr>
        <sz val="10.5"/>
        <color rgb="FFFF0000"/>
        <rFont val="Times New Roman"/>
        <charset val="134"/>
      </rPr>
      <t>127 kg/a</t>
    </r>
    <r>
      <rPr>
        <sz val="10.5"/>
        <color theme="1"/>
        <rFont val="宋体"/>
        <charset val="134"/>
      </rPr>
      <t>，项目将注塑废气进行收集后经等离子处理设施处理后于</t>
    </r>
    <r>
      <rPr>
        <sz val="10.5"/>
        <color theme="1"/>
        <rFont val="Times New Roman"/>
        <charset val="134"/>
      </rPr>
      <t>15</t>
    </r>
    <r>
      <rPr>
        <sz val="10.5"/>
        <color theme="1"/>
        <rFont val="宋体"/>
        <charset val="134"/>
      </rPr>
      <t>米排气筒排放，收集效率约</t>
    </r>
    <r>
      <rPr>
        <sz val="10.5"/>
        <color theme="1"/>
        <rFont val="Times New Roman"/>
        <charset val="134"/>
      </rPr>
      <t>90%</t>
    </r>
    <r>
      <rPr>
        <sz val="10.5"/>
        <color theme="1"/>
        <rFont val="宋体"/>
        <charset val="134"/>
      </rPr>
      <t>，处理效率按</t>
    </r>
    <r>
      <rPr>
        <sz val="10.5"/>
        <color theme="1"/>
        <rFont val="Times New Roman"/>
        <charset val="134"/>
      </rPr>
      <t>70%</t>
    </r>
    <r>
      <rPr>
        <sz val="10.5"/>
        <color theme="1"/>
        <rFont val="宋体"/>
        <charset val="134"/>
      </rPr>
      <t>计算，风机风量为</t>
    </r>
    <r>
      <rPr>
        <sz val="10.5"/>
        <color theme="1"/>
        <rFont val="Times New Roman"/>
        <charset val="134"/>
      </rPr>
      <t>16000m</t>
    </r>
    <r>
      <rPr>
        <vertAlign val="superscript"/>
        <sz val="10.5"/>
        <color theme="1"/>
        <rFont val="Times New Roman"/>
        <charset val="134"/>
      </rPr>
      <t>3</t>
    </r>
    <r>
      <rPr>
        <sz val="10.5"/>
        <color theme="1"/>
        <rFont val="Times New Roman"/>
        <charset val="134"/>
      </rPr>
      <t>/h</t>
    </r>
    <r>
      <rPr>
        <sz val="10.5"/>
        <color theme="1"/>
        <rFont val="宋体"/>
        <charset val="134"/>
      </rPr>
      <t>，</t>
    </r>
    <r>
      <rPr>
        <sz val="10.5"/>
        <color rgb="FFFF0000"/>
        <rFont val="宋体"/>
        <charset val="134"/>
      </rPr>
      <t>故有组织排放量是</t>
    </r>
    <r>
      <rPr>
        <sz val="10.5"/>
        <color rgb="FFFF0000"/>
        <rFont val="Times New Roman"/>
        <charset val="134"/>
      </rPr>
      <t>252 kg/a</t>
    </r>
    <r>
      <rPr>
        <sz val="10.5"/>
        <color rgb="FFFF0000"/>
        <rFont val="宋体"/>
        <charset val="134"/>
      </rPr>
      <t>，排放速率为</t>
    </r>
    <r>
      <rPr>
        <sz val="10.5"/>
        <color rgb="FFFF0000"/>
        <rFont val="Times New Roman"/>
        <charset val="134"/>
      </rPr>
      <t>0.091kg/h</t>
    </r>
    <r>
      <rPr>
        <sz val="10.5"/>
        <color rgb="FFFF0000"/>
        <rFont val="宋体"/>
        <charset val="134"/>
      </rPr>
      <t>，有组织排放浓度为</t>
    </r>
    <r>
      <rPr>
        <sz val="10.5"/>
        <color rgb="FFFF0000"/>
        <rFont val="Times New Roman"/>
        <charset val="134"/>
      </rPr>
      <t>18.17mg/m3</t>
    </r>
    <r>
      <rPr>
        <sz val="10.5"/>
        <color rgb="FFFF0000"/>
        <rFont val="宋体"/>
        <charset val="134"/>
      </rPr>
      <t>。具体废气产排情况见表</t>
    </r>
    <r>
      <rPr>
        <sz val="10.5"/>
        <color rgb="FFFF0000"/>
        <rFont val="Times New Roman"/>
        <charset val="134"/>
      </rPr>
      <t>5-1</t>
    </r>
    <r>
      <rPr>
        <sz val="10.5"/>
        <color rgb="FFFF0000"/>
        <rFont val="宋体"/>
        <charset val="134"/>
      </rPr>
      <t>所示。</t>
    </r>
  </si>
  <si>
    <r>
      <rPr>
        <sz val="10.5"/>
        <color theme="1"/>
        <rFont val="宋体"/>
        <charset val="134"/>
      </rPr>
      <t>项目生产时不涉及废旧塑料的使用，仅注塑过程塑料热熔时会产生有机废气，其污染因子主要为非甲烷总烃。收集后经等离子处理设施处理后于</t>
    </r>
    <r>
      <rPr>
        <sz val="10.5"/>
        <color theme="1"/>
        <rFont val="Times New Roman"/>
        <charset val="134"/>
      </rPr>
      <t>15</t>
    </r>
    <r>
      <rPr>
        <sz val="10.5"/>
        <color theme="1"/>
        <rFont val="宋体"/>
        <charset val="134"/>
      </rPr>
      <t>米排气筒排放。根据污染源强分析章节计算可知，项目的印刷工序产生的总</t>
    </r>
    <r>
      <rPr>
        <sz val="10.5"/>
        <color theme="1"/>
        <rFont val="Times New Roman"/>
        <charset val="134"/>
      </rPr>
      <t>VOCs</t>
    </r>
    <r>
      <rPr>
        <sz val="10.5"/>
        <color theme="1"/>
        <rFont val="宋体"/>
        <charset val="134"/>
      </rPr>
      <t>有组织排放速率为</t>
    </r>
    <r>
      <rPr>
        <sz val="10.5"/>
        <color theme="1"/>
        <rFont val="Times New Roman"/>
        <charset val="134"/>
      </rPr>
      <t>0.091kg/h</t>
    </r>
    <r>
      <rPr>
        <sz val="10.5"/>
        <color theme="1"/>
        <rFont val="宋体"/>
        <charset val="134"/>
      </rPr>
      <t>，有组织排放浓度为</t>
    </r>
    <r>
      <rPr>
        <sz val="10.5"/>
        <color theme="1"/>
        <rFont val="Times New Roman"/>
        <charset val="134"/>
      </rPr>
      <t>18.17mg/m3</t>
    </r>
    <r>
      <rPr>
        <sz val="10.5"/>
        <color theme="1"/>
        <rFont val="宋体"/>
        <charset val="134"/>
      </rPr>
      <t>，无组织排放</t>
    </r>
    <r>
      <rPr>
        <sz val="10.5"/>
        <color theme="1"/>
        <rFont val="Times New Roman"/>
        <charset val="134"/>
      </rPr>
      <t xml:space="preserve"> </t>
    </r>
    <r>
      <rPr>
        <sz val="10.5"/>
        <color theme="1"/>
        <rFont val="宋体"/>
        <charset val="134"/>
      </rPr>
      <t>厂界浓度为</t>
    </r>
    <r>
      <rPr>
        <sz val="10.5"/>
        <color theme="1"/>
        <rFont val="Times New Roman"/>
        <charset val="134"/>
      </rPr>
      <t>2.6</t>
    </r>
    <r>
      <rPr>
        <sz val="10.5"/>
        <color theme="1"/>
        <rFont val="宋体"/>
        <charset val="134"/>
      </rPr>
      <t>×</t>
    </r>
    <r>
      <rPr>
        <sz val="10.5"/>
        <color theme="1"/>
        <rFont val="Times New Roman"/>
        <charset val="134"/>
      </rPr>
      <t>10-5mg/m3</t>
    </r>
    <r>
      <rPr>
        <sz val="10.5"/>
        <color theme="1"/>
        <rFont val="宋体"/>
        <charset val="134"/>
      </rPr>
      <t>，</t>
    </r>
    <r>
      <rPr>
        <sz val="10.5"/>
        <color theme="1"/>
        <rFont val="宋体"/>
        <charset val="134"/>
      </rPr>
      <t>均可达到《合成树脂工业污染物排放标准》（</t>
    </r>
    <r>
      <rPr>
        <sz val="10.5"/>
        <color theme="1"/>
        <rFont val="Times New Roman"/>
        <charset val="134"/>
      </rPr>
      <t>GB31572-2015</t>
    </r>
    <r>
      <rPr>
        <sz val="10.5"/>
        <color theme="1"/>
        <rFont val="宋体"/>
        <charset val="134"/>
      </rPr>
      <t>）最高允许排放浓度限值，对周围环境敏感点影响不大。</t>
    </r>
  </si>
  <si>
    <t>乐从</t>
  </si>
  <si>
    <r>
      <rPr>
        <sz val="10.5"/>
        <color theme="1"/>
        <rFont val="宋体"/>
        <charset val="134"/>
      </rPr>
      <t>废气收集经等离子处理设施处理后通过不低于</t>
    </r>
    <r>
      <rPr>
        <sz val="10.5"/>
        <color theme="1"/>
        <rFont val="Times New Roman"/>
        <charset val="134"/>
      </rPr>
      <t>15</t>
    </r>
    <r>
      <rPr>
        <sz val="10.5"/>
        <color theme="1"/>
        <rFont val="宋体"/>
        <charset val="134"/>
      </rPr>
      <t>米的排气筒排放</t>
    </r>
  </si>
  <si>
    <t>伦教</t>
  </si>
  <si>
    <t>北滘</t>
  </si>
  <si>
    <t>勒流</t>
  </si>
  <si>
    <t>大良</t>
  </si>
  <si>
    <t>陈村</t>
  </si>
  <si>
    <t>龙江</t>
  </si>
  <si>
    <t>PVC</t>
  </si>
  <si>
    <t>挤出</t>
  </si>
  <si>
    <r>
      <rPr>
        <b/>
        <sz val="10.5"/>
        <color theme="1"/>
        <rFont val="宋体"/>
        <charset val="134"/>
      </rPr>
      <t>挤出过程产生的</t>
    </r>
    <r>
      <rPr>
        <b/>
        <sz val="10.5"/>
        <color theme="1"/>
        <rFont val="Times New Roman"/>
        <charset val="134"/>
      </rPr>
      <t>VOCs</t>
    </r>
    <r>
      <rPr>
        <b/>
        <sz val="10.5"/>
        <color theme="1"/>
        <rFont val="宋体"/>
        <charset val="134"/>
      </rPr>
      <t>（其他塑料</t>
    </r>
    <r>
      <rPr>
        <b/>
        <sz val="10.5"/>
        <color theme="1"/>
        <rFont val="Times New Roman"/>
        <charset val="134"/>
      </rPr>
      <t>+PVC</t>
    </r>
    <r>
      <rPr>
        <b/>
        <sz val="10.5"/>
        <color theme="1"/>
        <rFont val="宋体"/>
        <charset val="134"/>
      </rPr>
      <t>）</t>
    </r>
  </si>
  <si>
    <r>
      <rPr>
        <sz val="10.5"/>
        <color theme="1"/>
        <rFont val="Times New Roman"/>
        <charset val="134"/>
      </rPr>
      <t>项目挤出工艺温度未达到PE</t>
    </r>
    <r>
      <rPr>
        <sz val="10.5"/>
        <color theme="1"/>
        <rFont val="宋体"/>
        <charset val="134"/>
      </rPr>
      <t>和</t>
    </r>
    <r>
      <rPr>
        <sz val="10.5"/>
        <color theme="1"/>
        <rFont val="Times New Roman"/>
        <charset val="134"/>
      </rPr>
      <t>PVC</t>
    </r>
    <r>
      <rPr>
        <sz val="10.5"/>
        <color theme="1"/>
        <rFont val="宋体"/>
        <charset val="134"/>
      </rPr>
      <t>塑料的热分解峰值温度，理论上不会产生乙烯等单体废气，因此挤出工序产生的废气主要为挥发出少量的异味气体，主要成分为</t>
    </r>
    <r>
      <rPr>
        <sz val="10.5"/>
        <color theme="1"/>
        <rFont val="Times New Roman"/>
        <charset val="134"/>
      </rPr>
      <t>PE</t>
    </r>
    <r>
      <rPr>
        <sz val="10.5"/>
        <color theme="1"/>
        <rFont val="宋体"/>
        <charset val="134"/>
      </rPr>
      <t>塑料的受热气化物，用非甲烷总烃表示。根据美国环保局《空气污染物排放和控制手册》中规定取值：</t>
    </r>
    <r>
      <rPr>
        <sz val="10.5"/>
        <color rgb="FFFF0000"/>
        <rFont val="Times New Roman"/>
        <charset val="134"/>
      </rPr>
      <t>PE</t>
    </r>
    <r>
      <rPr>
        <sz val="10.5"/>
        <color rgb="FFFF0000"/>
        <rFont val="宋体"/>
        <charset val="134"/>
      </rPr>
      <t>塑料非甲烷总烃产生量</t>
    </r>
    <r>
      <rPr>
        <sz val="10.5"/>
        <color rgb="FFFF0000"/>
        <rFont val="Times New Roman"/>
        <charset val="134"/>
      </rPr>
      <t>0.35kg/</t>
    </r>
    <r>
      <rPr>
        <sz val="10.5"/>
        <color rgb="FFFF0000"/>
        <rFont val="宋体"/>
        <charset val="134"/>
      </rPr>
      <t>塑料</t>
    </r>
    <r>
      <rPr>
        <sz val="10.5"/>
        <color rgb="FFFF0000"/>
        <rFont val="Times New Roman"/>
        <charset val="134"/>
      </rPr>
      <t>t</t>
    </r>
    <r>
      <rPr>
        <sz val="10.5"/>
        <color rgb="FFFF0000"/>
        <rFont val="宋体"/>
        <charset val="134"/>
      </rPr>
      <t>，</t>
    </r>
    <r>
      <rPr>
        <sz val="10.5"/>
        <color rgb="FFFF0000"/>
        <rFont val="Times New Roman"/>
        <charset val="134"/>
      </rPr>
      <t>PVC</t>
    </r>
    <r>
      <rPr>
        <sz val="10.5"/>
        <color rgb="FFFF0000"/>
        <rFont val="宋体"/>
        <charset val="134"/>
      </rPr>
      <t>热熔参考非甲烷总烃产生量</t>
    </r>
    <r>
      <rPr>
        <sz val="10.5"/>
        <color rgb="FFFF0000"/>
        <rFont val="Times New Roman"/>
        <charset val="134"/>
      </rPr>
      <t>8.5kg/t</t>
    </r>
    <r>
      <rPr>
        <sz val="10.5"/>
        <color rgb="FFFF0000"/>
        <rFont val="宋体"/>
        <charset val="134"/>
      </rPr>
      <t>塑料。挤出废气产生量</t>
    </r>
    <r>
      <rPr>
        <sz val="10.5"/>
        <color rgb="FFFF0000"/>
        <rFont val="Times New Roman"/>
        <charset val="134"/>
      </rPr>
      <t>=(102×0.35/1000)+(102×8.5/1000)=0.90 t/a</t>
    </r>
    <r>
      <rPr>
        <sz val="10.5"/>
        <color theme="1"/>
        <rFont val="宋体"/>
        <charset val="134"/>
      </rPr>
      <t>，环评要求项目注塑挤出工序设置集气、排气系统，产生的有机废气经集气罩集中收集后，引至等离子</t>
    </r>
    <r>
      <rPr>
        <sz val="10.5"/>
        <color theme="1"/>
        <rFont val="Times New Roman"/>
        <charset val="134"/>
      </rPr>
      <t>+</t>
    </r>
    <r>
      <rPr>
        <sz val="10.5"/>
        <color theme="1"/>
        <rFont val="宋体"/>
        <charset val="134"/>
      </rPr>
      <t>活性炭处理设施处理后于</t>
    </r>
    <r>
      <rPr>
        <sz val="10.5"/>
        <color theme="1"/>
        <rFont val="Times New Roman"/>
        <charset val="134"/>
      </rPr>
      <t>15m</t>
    </r>
    <r>
      <rPr>
        <sz val="10.5"/>
        <color theme="1"/>
        <rFont val="宋体"/>
        <charset val="134"/>
      </rPr>
      <t>高排气筒排放，其产生及排放情况如表</t>
    </r>
    <r>
      <rPr>
        <sz val="10.5"/>
        <color theme="1"/>
        <rFont val="Times New Roman"/>
        <charset val="134"/>
      </rPr>
      <t>5-1</t>
    </r>
    <r>
      <rPr>
        <sz val="10.5"/>
        <color theme="1"/>
        <rFont val="宋体"/>
        <charset val="134"/>
      </rPr>
      <t>所示。</t>
    </r>
  </si>
  <si>
    <r>
      <rPr>
        <sz val="10.5"/>
        <color theme="1"/>
        <rFont val="Times New Roman"/>
        <charset val="134"/>
      </rPr>
      <t>本报告要求项目挤出工序设置集气、排气系统，产生的有机废气经集气罩集中收集后，引至等离子+</t>
    </r>
    <r>
      <rPr>
        <sz val="10.5"/>
        <color theme="1"/>
        <rFont val="宋体"/>
        <charset val="134"/>
      </rPr>
      <t>活性炭处理后于</t>
    </r>
    <r>
      <rPr>
        <sz val="10.5"/>
        <color theme="1"/>
        <rFont val="Times New Roman"/>
        <charset val="134"/>
      </rPr>
      <t>15m</t>
    </r>
    <r>
      <rPr>
        <sz val="10.5"/>
        <color theme="1"/>
        <rFont val="宋体"/>
        <charset val="134"/>
      </rPr>
      <t>高排气筒排放。在低温等离子设备的停留时间约</t>
    </r>
    <r>
      <rPr>
        <sz val="10.5"/>
        <color theme="1"/>
        <rFont val="Times New Roman"/>
        <charset val="134"/>
      </rPr>
      <t>2s</t>
    </r>
    <r>
      <rPr>
        <sz val="10.5"/>
        <color theme="1"/>
        <rFont val="宋体"/>
        <charset val="134"/>
      </rPr>
      <t>，</t>
    </r>
    <r>
      <rPr>
        <sz val="10.5"/>
        <color rgb="FFFF0000"/>
        <rFont val="宋体"/>
        <charset val="134"/>
      </rPr>
      <t>处理风量设为</t>
    </r>
    <r>
      <rPr>
        <sz val="10.5"/>
        <color rgb="FFFF0000"/>
        <rFont val="Times New Roman"/>
        <charset val="134"/>
      </rPr>
      <t>8000m3/h</t>
    </r>
    <r>
      <rPr>
        <sz val="10.5"/>
        <color rgb="FFFF0000"/>
        <rFont val="宋体"/>
        <charset val="134"/>
      </rPr>
      <t>，</t>
    </r>
    <r>
      <rPr>
        <sz val="10.5"/>
        <color theme="1"/>
        <rFont val="宋体"/>
        <charset val="134"/>
      </rPr>
      <t>交流电压为</t>
    </r>
    <r>
      <rPr>
        <sz val="10.5"/>
        <color theme="1"/>
        <rFont val="Times New Roman"/>
        <charset val="134"/>
      </rPr>
      <t>4-12kV</t>
    </r>
    <r>
      <rPr>
        <sz val="10.5"/>
        <color theme="1"/>
        <rFont val="宋体"/>
        <charset val="134"/>
      </rPr>
      <t>，能耗为</t>
    </r>
    <r>
      <rPr>
        <sz val="10.5"/>
        <color theme="1"/>
        <rFont val="Times New Roman"/>
        <charset val="134"/>
      </rPr>
      <t>20kW/10000m3</t>
    </r>
    <r>
      <rPr>
        <sz val="10.5"/>
        <color theme="1"/>
        <rFont val="宋体"/>
        <charset val="134"/>
      </rPr>
      <t>。根据《广东省印刷行业挥发性有机化合物废气治理技术指南》，处理每</t>
    </r>
    <r>
      <rPr>
        <sz val="10.5"/>
        <color theme="1"/>
        <rFont val="Times New Roman"/>
        <charset val="134"/>
      </rPr>
      <t>10000m3/h</t>
    </r>
    <r>
      <rPr>
        <sz val="10.5"/>
        <color theme="1"/>
        <rFont val="宋体"/>
        <charset val="134"/>
      </rPr>
      <t>风量的废气，低温等离子体治理设施的功率为</t>
    </r>
    <r>
      <rPr>
        <sz val="10.5"/>
        <color theme="1"/>
        <rFont val="Times New Roman"/>
        <charset val="134"/>
      </rPr>
      <t>20~50kW</t>
    </r>
    <r>
      <rPr>
        <sz val="10.5"/>
        <color theme="1"/>
        <rFont val="宋体"/>
        <charset val="134"/>
      </rPr>
      <t>；而根据低温等离子体治理设施处理效率影响因素分析的相关文献类比分析可知，有机废气处理效率达到</t>
    </r>
    <r>
      <rPr>
        <sz val="10.5"/>
        <color theme="1"/>
        <rFont val="Times New Roman"/>
        <charset val="134"/>
      </rPr>
      <t>50~90%</t>
    </r>
    <r>
      <rPr>
        <sz val="10.5"/>
        <color theme="1"/>
        <rFont val="宋体"/>
        <charset val="134"/>
      </rPr>
      <t>之间，需要</t>
    </r>
    <r>
      <rPr>
        <sz val="10.5"/>
        <color theme="1"/>
        <rFont val="Times New Roman"/>
        <charset val="134"/>
      </rPr>
      <t>1~2s</t>
    </r>
    <r>
      <rPr>
        <sz val="10.5"/>
        <color theme="1"/>
        <rFont val="宋体"/>
        <charset val="134"/>
      </rPr>
      <t>的停留时间。当低温等离子设备处理效率不低于</t>
    </r>
    <r>
      <rPr>
        <sz val="10.5"/>
        <color theme="1"/>
        <rFont val="Times New Roman"/>
        <charset val="134"/>
      </rPr>
      <t>70%</t>
    </r>
    <r>
      <rPr>
        <sz val="10.5"/>
        <color theme="1"/>
        <rFont val="宋体"/>
        <charset val="134"/>
      </rPr>
      <t>，活性炭吸附效率不低于</t>
    </r>
    <r>
      <rPr>
        <sz val="10.5"/>
        <color theme="1"/>
        <rFont val="Times New Roman"/>
        <charset val="134"/>
      </rPr>
      <t>70%</t>
    </r>
    <r>
      <rPr>
        <sz val="10.5"/>
        <color theme="1"/>
        <rFont val="宋体"/>
        <charset val="134"/>
      </rPr>
      <t>时，可保证低温等离子体</t>
    </r>
    <r>
      <rPr>
        <sz val="10.5"/>
        <color theme="1"/>
        <rFont val="Times New Roman"/>
        <charset val="134"/>
      </rPr>
      <t>+</t>
    </r>
    <r>
      <rPr>
        <sz val="10.5"/>
        <color theme="1"/>
        <rFont val="宋体"/>
        <charset val="134"/>
      </rPr>
      <t>活性炭装置的处理效率</t>
    </r>
    <r>
      <rPr>
        <sz val="10.5"/>
        <color theme="1"/>
        <rFont val="Times New Roman"/>
        <charset val="134"/>
      </rPr>
      <t>≥90%</t>
    </r>
    <r>
      <rPr>
        <sz val="10.5"/>
        <color theme="1"/>
        <rFont val="宋体"/>
        <charset val="134"/>
      </rPr>
      <t>。因此，在保证能耗和停留时间的条件下，项目选用低温等离子体</t>
    </r>
    <r>
      <rPr>
        <sz val="10.5"/>
        <color theme="1"/>
        <rFont val="Times New Roman"/>
        <charset val="134"/>
      </rPr>
      <t>+</t>
    </r>
    <r>
      <rPr>
        <sz val="10.5"/>
        <color theme="1"/>
        <rFont val="宋体"/>
        <charset val="134"/>
      </rPr>
      <t>活性炭吸附装置能够满足处理工艺的要求。项目废气收集效率取</t>
    </r>
    <r>
      <rPr>
        <sz val="10.5"/>
        <color theme="1"/>
        <rFont val="Times New Roman"/>
        <charset val="134"/>
      </rPr>
      <t>90%</t>
    </r>
    <r>
      <rPr>
        <sz val="10.5"/>
        <color theme="1"/>
        <rFont val="宋体"/>
        <charset val="134"/>
      </rPr>
      <t>，剩余</t>
    </r>
    <r>
      <rPr>
        <sz val="10.5"/>
        <color theme="1"/>
        <rFont val="Times New Roman"/>
        <charset val="134"/>
      </rPr>
      <t>10%</t>
    </r>
    <r>
      <rPr>
        <sz val="10.5"/>
        <color theme="1"/>
        <rFont val="宋体"/>
        <charset val="134"/>
      </rPr>
      <t>为无组织形式排放。因此，项目挤出工序产生的有机废气经收集后通过</t>
    </r>
    <r>
      <rPr>
        <sz val="10.5"/>
        <color theme="1"/>
        <rFont val="Times New Roman"/>
        <charset val="134"/>
      </rPr>
      <t>“</t>
    </r>
    <r>
      <rPr>
        <sz val="10.5"/>
        <color theme="1"/>
        <rFont val="宋体"/>
        <charset val="134"/>
      </rPr>
      <t>等离子</t>
    </r>
    <r>
      <rPr>
        <sz val="10.5"/>
        <color theme="1"/>
        <rFont val="Times New Roman"/>
        <charset val="134"/>
      </rPr>
      <t>+</t>
    </r>
    <r>
      <rPr>
        <sz val="10.5"/>
        <color theme="1"/>
        <rFont val="宋体"/>
        <charset val="134"/>
      </rPr>
      <t>活性炭</t>
    </r>
    <r>
      <rPr>
        <sz val="10.5"/>
        <color theme="1"/>
        <rFont val="Times New Roman"/>
        <charset val="134"/>
      </rPr>
      <t>”</t>
    </r>
    <r>
      <rPr>
        <sz val="10.5"/>
        <color theme="1"/>
        <rFont val="宋体"/>
        <charset val="134"/>
      </rPr>
      <t>处理达标后引至</t>
    </r>
    <r>
      <rPr>
        <sz val="10.5"/>
        <color theme="1"/>
        <rFont val="Times New Roman"/>
        <charset val="134"/>
      </rPr>
      <t>15m</t>
    </r>
    <r>
      <rPr>
        <sz val="10.5"/>
        <color theme="1"/>
        <rFont val="宋体"/>
        <charset val="134"/>
      </rPr>
      <t>排气筒排放，经核算</t>
    </r>
    <r>
      <rPr>
        <sz val="10.5"/>
        <color rgb="FFFF0000"/>
        <rFont val="宋体"/>
        <charset val="134"/>
      </rPr>
      <t>排气筒的排放浓度</t>
    </r>
    <r>
      <rPr>
        <sz val="10.5"/>
        <color rgb="FFFF0000"/>
        <rFont val="Times New Roman"/>
        <charset val="134"/>
      </rPr>
      <t>3.97mg/m3</t>
    </r>
    <r>
      <rPr>
        <sz val="10.5"/>
        <color rgb="FFFF0000"/>
        <rFont val="宋体"/>
        <charset val="134"/>
      </rPr>
      <t>和排放速率</t>
    </r>
    <r>
      <rPr>
        <sz val="10.5"/>
        <color rgb="FFFF0000"/>
        <rFont val="Times New Roman"/>
        <charset val="134"/>
      </rPr>
      <t>0.064kg/h</t>
    </r>
    <r>
      <rPr>
        <sz val="10.5"/>
        <color theme="1"/>
        <rFont val="宋体"/>
        <charset val="134"/>
      </rPr>
      <t>，可达到《合成树脂工业污染物排放标准》（</t>
    </r>
    <r>
      <rPr>
        <sz val="10.5"/>
        <color theme="1"/>
        <rFont val="Times New Roman"/>
        <charset val="134"/>
      </rPr>
      <t>GB31572-2015</t>
    </r>
    <r>
      <rPr>
        <sz val="10.5"/>
        <color theme="1"/>
        <rFont val="宋体"/>
        <charset val="134"/>
      </rPr>
      <t>）中非甲烷总烃的相关标准，对周围环境和敏感点影响不大。</t>
    </r>
  </si>
  <si>
    <r>
      <rPr>
        <sz val="10.5"/>
        <color theme="1"/>
        <rFont val="Times New Roman"/>
        <charset val="134"/>
      </rPr>
      <t>废气收集后通过“</t>
    </r>
    <r>
      <rPr>
        <sz val="10.5"/>
        <color theme="1"/>
        <rFont val="宋体"/>
        <charset val="134"/>
      </rPr>
      <t>等离子</t>
    </r>
    <r>
      <rPr>
        <sz val="10.5"/>
        <color theme="1"/>
        <rFont val="Times New Roman"/>
        <charset val="134"/>
      </rPr>
      <t>+</t>
    </r>
    <r>
      <rPr>
        <sz val="10.5"/>
        <color theme="1"/>
        <rFont val="宋体"/>
        <charset val="134"/>
      </rPr>
      <t>活性炭</t>
    </r>
    <r>
      <rPr>
        <sz val="10.5"/>
        <color theme="1"/>
        <rFont val="Times New Roman"/>
        <charset val="134"/>
      </rPr>
      <t>”</t>
    </r>
    <r>
      <rPr>
        <sz val="10.5"/>
        <color theme="1"/>
        <rFont val="宋体"/>
        <charset val="134"/>
      </rPr>
      <t>处理达标后不低于</t>
    </r>
    <r>
      <rPr>
        <sz val="10.5"/>
        <color theme="1"/>
        <rFont val="Times New Roman"/>
        <charset val="134"/>
      </rPr>
      <t>15</t>
    </r>
    <r>
      <rPr>
        <sz val="10.5"/>
        <color theme="1"/>
        <rFont val="宋体"/>
        <charset val="134"/>
      </rPr>
      <t>米的排气筒排放</t>
    </r>
  </si>
  <si>
    <t>吸塑</t>
  </si>
  <si>
    <r>
      <rPr>
        <b/>
        <sz val="10.5"/>
        <color theme="1"/>
        <rFont val="宋体"/>
        <charset val="134"/>
      </rPr>
      <t>吸塑过程产生的</t>
    </r>
    <r>
      <rPr>
        <b/>
        <sz val="10.5"/>
        <color theme="1"/>
        <rFont val="Times New Roman"/>
        <charset val="134"/>
      </rPr>
      <t>VOCs</t>
    </r>
    <r>
      <rPr>
        <b/>
        <sz val="10.5"/>
        <color theme="1"/>
        <rFont val="宋体"/>
        <charset val="134"/>
      </rPr>
      <t>（其他塑料</t>
    </r>
    <r>
      <rPr>
        <b/>
        <sz val="10.5"/>
        <color theme="1"/>
        <rFont val="Times New Roman"/>
        <charset val="134"/>
      </rPr>
      <t>+PVC</t>
    </r>
    <r>
      <rPr>
        <b/>
        <sz val="10.5"/>
        <color theme="1"/>
        <rFont val="宋体"/>
        <charset val="134"/>
      </rPr>
      <t>）</t>
    </r>
  </si>
  <si>
    <r>
      <rPr>
        <b/>
        <sz val="10.5"/>
        <color theme="1"/>
        <rFont val="宋体"/>
        <charset val="134"/>
      </rPr>
      <t>注塑过程产生的</t>
    </r>
    <r>
      <rPr>
        <b/>
        <sz val="10.5"/>
        <color theme="1"/>
        <rFont val="Times New Roman"/>
        <charset val="134"/>
      </rPr>
      <t>VOCs</t>
    </r>
    <r>
      <rPr>
        <b/>
        <sz val="10.5"/>
        <color theme="1"/>
        <rFont val="宋体"/>
        <charset val="134"/>
      </rPr>
      <t>（</t>
    </r>
    <r>
      <rPr>
        <b/>
        <sz val="10.5"/>
        <color theme="1"/>
        <rFont val="Times New Roman"/>
        <charset val="134"/>
      </rPr>
      <t>PVC</t>
    </r>
    <r>
      <rPr>
        <b/>
        <sz val="10.5"/>
        <color theme="1"/>
        <rFont val="宋体"/>
        <charset val="134"/>
      </rPr>
      <t>）</t>
    </r>
  </si>
  <si>
    <r>
      <rPr>
        <sz val="10.5"/>
        <color theme="1"/>
        <rFont val="Times New Roman"/>
        <charset val="134"/>
      </rPr>
      <t>项目注塑工艺温度未达到PE</t>
    </r>
    <r>
      <rPr>
        <sz val="10.5"/>
        <color theme="1"/>
        <rFont val="宋体"/>
        <charset val="134"/>
      </rPr>
      <t>和</t>
    </r>
    <r>
      <rPr>
        <sz val="10.5"/>
        <color theme="1"/>
        <rFont val="Times New Roman"/>
        <charset val="134"/>
      </rPr>
      <t>PVC</t>
    </r>
    <r>
      <rPr>
        <sz val="10.5"/>
        <color theme="1"/>
        <rFont val="宋体"/>
        <charset val="134"/>
      </rPr>
      <t>塑料的热分解峰值温度，理论上不会产生乙烯等单体废气，因此挤出工序产生的废气主要为挥发出少量的异味气体，主要成分为</t>
    </r>
    <r>
      <rPr>
        <sz val="10.5"/>
        <color theme="1"/>
        <rFont val="Times New Roman"/>
        <charset val="134"/>
      </rPr>
      <t>PE</t>
    </r>
    <r>
      <rPr>
        <sz val="10.5"/>
        <color theme="1"/>
        <rFont val="宋体"/>
        <charset val="134"/>
      </rPr>
      <t>塑料的受热气化物，用非甲烷总烃表示。根据美国环保局《空气污染物排放和控制手册》中规定取值：</t>
    </r>
    <r>
      <rPr>
        <sz val="10.5"/>
        <color rgb="FFFF0000"/>
        <rFont val="Times New Roman"/>
        <charset val="134"/>
      </rPr>
      <t>PE</t>
    </r>
    <r>
      <rPr>
        <sz val="10.5"/>
        <color rgb="FFFF0000"/>
        <rFont val="宋体"/>
        <charset val="134"/>
      </rPr>
      <t>塑料非甲烷总烃产生量</t>
    </r>
    <r>
      <rPr>
        <sz val="10.5"/>
        <color rgb="FFFF0000"/>
        <rFont val="Times New Roman"/>
        <charset val="134"/>
      </rPr>
      <t>0.35kg/</t>
    </r>
    <r>
      <rPr>
        <sz val="10.5"/>
        <color rgb="FFFF0000"/>
        <rFont val="宋体"/>
        <charset val="134"/>
      </rPr>
      <t>塑料</t>
    </r>
    <r>
      <rPr>
        <sz val="10.5"/>
        <color rgb="FFFF0000"/>
        <rFont val="Times New Roman"/>
        <charset val="134"/>
      </rPr>
      <t>t</t>
    </r>
    <r>
      <rPr>
        <sz val="10.5"/>
        <color rgb="FFFF0000"/>
        <rFont val="宋体"/>
        <charset val="134"/>
      </rPr>
      <t>，</t>
    </r>
    <r>
      <rPr>
        <sz val="10.5"/>
        <color rgb="FFFF0000"/>
        <rFont val="Times New Roman"/>
        <charset val="134"/>
      </rPr>
      <t>PVC</t>
    </r>
    <r>
      <rPr>
        <sz val="10.5"/>
        <color rgb="FFFF0000"/>
        <rFont val="宋体"/>
        <charset val="134"/>
      </rPr>
      <t>热熔参考非甲烷总烃产生量</t>
    </r>
    <r>
      <rPr>
        <sz val="10.5"/>
        <color rgb="FFFF0000"/>
        <rFont val="Times New Roman"/>
        <charset val="134"/>
      </rPr>
      <t>8.5kg/t</t>
    </r>
    <r>
      <rPr>
        <sz val="10.5"/>
        <color rgb="FFFF0000"/>
        <rFont val="宋体"/>
        <charset val="134"/>
      </rPr>
      <t>塑料。挤出废气产生量</t>
    </r>
    <r>
      <rPr>
        <sz val="10.5"/>
        <color rgb="FFFF0000"/>
        <rFont val="Times New Roman"/>
        <charset val="134"/>
      </rPr>
      <t>=(102×0.35/1000)+(102×8.5/1000)=0.90 t/a</t>
    </r>
    <r>
      <rPr>
        <sz val="10.5"/>
        <color theme="1"/>
        <rFont val="宋体"/>
        <charset val="134"/>
      </rPr>
      <t>，环评要求项目注塑挤出工序设置集气、排气系统，产生的有机废气经集气罩集中收集后，引至等离子</t>
    </r>
    <r>
      <rPr>
        <sz val="10.5"/>
        <color theme="1"/>
        <rFont val="Times New Roman"/>
        <charset val="134"/>
      </rPr>
      <t>+</t>
    </r>
    <r>
      <rPr>
        <sz val="10.5"/>
        <color theme="1"/>
        <rFont val="宋体"/>
        <charset val="134"/>
      </rPr>
      <t>活性炭处理设施处理后于</t>
    </r>
    <r>
      <rPr>
        <sz val="10.5"/>
        <color theme="1"/>
        <rFont val="Times New Roman"/>
        <charset val="134"/>
      </rPr>
      <t>15m</t>
    </r>
    <r>
      <rPr>
        <sz val="10.5"/>
        <color theme="1"/>
        <rFont val="宋体"/>
        <charset val="134"/>
      </rPr>
      <t>高排气筒排放，其产生及排放情况如表</t>
    </r>
    <r>
      <rPr>
        <sz val="10.5"/>
        <color theme="1"/>
        <rFont val="Times New Roman"/>
        <charset val="134"/>
      </rPr>
      <t>5-1</t>
    </r>
    <r>
      <rPr>
        <sz val="10.5"/>
        <color theme="1"/>
        <rFont val="宋体"/>
        <charset val="134"/>
      </rPr>
      <t>所示。</t>
    </r>
  </si>
  <si>
    <r>
      <rPr>
        <sz val="10.5"/>
        <color theme="1"/>
        <rFont val="Times New Roman"/>
        <charset val="134"/>
      </rPr>
      <t>本报告要求项目注塑工序设置集气、排气系统，产生的有机废气经集气罩集中收集后，引至等离子+</t>
    </r>
    <r>
      <rPr>
        <sz val="10.5"/>
        <color theme="1"/>
        <rFont val="宋体"/>
        <charset val="134"/>
      </rPr>
      <t>活性炭处理后于</t>
    </r>
    <r>
      <rPr>
        <sz val="10.5"/>
        <color theme="1"/>
        <rFont val="Times New Roman"/>
        <charset val="134"/>
      </rPr>
      <t>15m</t>
    </r>
    <r>
      <rPr>
        <sz val="10.5"/>
        <color theme="1"/>
        <rFont val="宋体"/>
        <charset val="134"/>
      </rPr>
      <t>高排气筒排放。在低温等离子设备的停留时间约</t>
    </r>
    <r>
      <rPr>
        <sz val="10.5"/>
        <color theme="1"/>
        <rFont val="Times New Roman"/>
        <charset val="134"/>
      </rPr>
      <t>2s</t>
    </r>
    <r>
      <rPr>
        <sz val="10.5"/>
        <color theme="1"/>
        <rFont val="宋体"/>
        <charset val="134"/>
      </rPr>
      <t>，</t>
    </r>
    <r>
      <rPr>
        <sz val="10.5"/>
        <color rgb="FFFF0000"/>
        <rFont val="宋体"/>
        <charset val="134"/>
      </rPr>
      <t>处理风量设为</t>
    </r>
    <r>
      <rPr>
        <sz val="10.5"/>
        <color rgb="FFFF0000"/>
        <rFont val="Times New Roman"/>
        <charset val="134"/>
      </rPr>
      <t>8000m3/h</t>
    </r>
    <r>
      <rPr>
        <sz val="10.5"/>
        <color rgb="FFFF0000"/>
        <rFont val="宋体"/>
        <charset val="134"/>
      </rPr>
      <t>，</t>
    </r>
    <r>
      <rPr>
        <sz val="10.5"/>
        <color theme="1"/>
        <rFont val="宋体"/>
        <charset val="134"/>
      </rPr>
      <t>交流电压为</t>
    </r>
    <r>
      <rPr>
        <sz val="10.5"/>
        <color theme="1"/>
        <rFont val="Times New Roman"/>
        <charset val="134"/>
      </rPr>
      <t>4-12kV</t>
    </r>
    <r>
      <rPr>
        <sz val="10.5"/>
        <color theme="1"/>
        <rFont val="宋体"/>
        <charset val="134"/>
      </rPr>
      <t>，能耗为</t>
    </r>
    <r>
      <rPr>
        <sz val="10.5"/>
        <color theme="1"/>
        <rFont val="Times New Roman"/>
        <charset val="134"/>
      </rPr>
      <t>20kW/10000m3</t>
    </r>
    <r>
      <rPr>
        <sz val="10.5"/>
        <color theme="1"/>
        <rFont val="宋体"/>
        <charset val="134"/>
      </rPr>
      <t>。根据《广东省印刷行业挥发性有机化合物废气治理技术指南》，处理每</t>
    </r>
    <r>
      <rPr>
        <sz val="10.5"/>
        <color theme="1"/>
        <rFont val="Times New Roman"/>
        <charset val="134"/>
      </rPr>
      <t>10000m3/h</t>
    </r>
    <r>
      <rPr>
        <sz val="10.5"/>
        <color theme="1"/>
        <rFont val="宋体"/>
        <charset val="134"/>
      </rPr>
      <t>风量的废气，低温等离子体治理设施的功率为</t>
    </r>
    <r>
      <rPr>
        <sz val="10.5"/>
        <color theme="1"/>
        <rFont val="Times New Roman"/>
        <charset val="134"/>
      </rPr>
      <t>20~50kW</t>
    </r>
    <r>
      <rPr>
        <sz val="10.5"/>
        <color theme="1"/>
        <rFont val="宋体"/>
        <charset val="134"/>
      </rPr>
      <t>；而根据低温等离子体治理设施处理效率影响因素分析的相关文献类比分析可知，有机废气处理效率达到</t>
    </r>
    <r>
      <rPr>
        <sz val="10.5"/>
        <color theme="1"/>
        <rFont val="Times New Roman"/>
        <charset val="134"/>
      </rPr>
      <t>50~90%</t>
    </r>
    <r>
      <rPr>
        <sz val="10.5"/>
        <color theme="1"/>
        <rFont val="宋体"/>
        <charset val="134"/>
      </rPr>
      <t>之间，需要</t>
    </r>
    <r>
      <rPr>
        <sz val="10.5"/>
        <color theme="1"/>
        <rFont val="Times New Roman"/>
        <charset val="134"/>
      </rPr>
      <t>1~2s</t>
    </r>
    <r>
      <rPr>
        <sz val="10.5"/>
        <color theme="1"/>
        <rFont val="宋体"/>
        <charset val="134"/>
      </rPr>
      <t>的停留时间。当低温等离子设备处理效率不低于</t>
    </r>
    <r>
      <rPr>
        <sz val="10.5"/>
        <color theme="1"/>
        <rFont val="Times New Roman"/>
        <charset val="134"/>
      </rPr>
      <t>70%</t>
    </r>
    <r>
      <rPr>
        <sz val="10.5"/>
        <color theme="1"/>
        <rFont val="宋体"/>
        <charset val="134"/>
      </rPr>
      <t>，活性炭吸附效率不低于</t>
    </r>
    <r>
      <rPr>
        <sz val="10.5"/>
        <color theme="1"/>
        <rFont val="Times New Roman"/>
        <charset val="134"/>
      </rPr>
      <t>70%</t>
    </r>
    <r>
      <rPr>
        <sz val="10.5"/>
        <color theme="1"/>
        <rFont val="宋体"/>
        <charset val="134"/>
      </rPr>
      <t>时，可保证低温等离子体</t>
    </r>
    <r>
      <rPr>
        <sz val="10.5"/>
        <color theme="1"/>
        <rFont val="Times New Roman"/>
        <charset val="134"/>
      </rPr>
      <t>+</t>
    </r>
    <r>
      <rPr>
        <sz val="10.5"/>
        <color theme="1"/>
        <rFont val="宋体"/>
        <charset val="134"/>
      </rPr>
      <t>活性炭装置的处理效率</t>
    </r>
    <r>
      <rPr>
        <sz val="10.5"/>
        <color theme="1"/>
        <rFont val="Times New Roman"/>
        <charset val="134"/>
      </rPr>
      <t>≥90%</t>
    </r>
    <r>
      <rPr>
        <sz val="10.5"/>
        <color theme="1"/>
        <rFont val="宋体"/>
        <charset val="134"/>
      </rPr>
      <t>。因此，在保证能耗和停留时间的条件下，项目选用低温等离子体</t>
    </r>
    <r>
      <rPr>
        <sz val="10.5"/>
        <color theme="1"/>
        <rFont val="Times New Roman"/>
        <charset val="134"/>
      </rPr>
      <t>+</t>
    </r>
    <r>
      <rPr>
        <sz val="10.5"/>
        <color theme="1"/>
        <rFont val="宋体"/>
        <charset val="134"/>
      </rPr>
      <t>活性炭吸附装置能够满足处理工艺的要求。项目废气收集效率取</t>
    </r>
    <r>
      <rPr>
        <sz val="10.5"/>
        <color theme="1"/>
        <rFont val="Times New Roman"/>
        <charset val="134"/>
      </rPr>
      <t>90%</t>
    </r>
    <r>
      <rPr>
        <sz val="10.5"/>
        <color theme="1"/>
        <rFont val="宋体"/>
        <charset val="134"/>
      </rPr>
      <t>，剩余</t>
    </r>
    <r>
      <rPr>
        <sz val="10.5"/>
        <color theme="1"/>
        <rFont val="Times New Roman"/>
        <charset val="134"/>
      </rPr>
      <t>10%</t>
    </r>
    <r>
      <rPr>
        <sz val="10.5"/>
        <color theme="1"/>
        <rFont val="宋体"/>
        <charset val="134"/>
      </rPr>
      <t>为无组织形式排放。因此，项目挤出工序产生的有机废气经收集后通过</t>
    </r>
    <r>
      <rPr>
        <sz val="10.5"/>
        <color theme="1"/>
        <rFont val="Times New Roman"/>
        <charset val="134"/>
      </rPr>
      <t>“</t>
    </r>
    <r>
      <rPr>
        <sz val="10.5"/>
        <color theme="1"/>
        <rFont val="宋体"/>
        <charset val="134"/>
      </rPr>
      <t>等离子</t>
    </r>
    <r>
      <rPr>
        <sz val="10.5"/>
        <color theme="1"/>
        <rFont val="Times New Roman"/>
        <charset val="134"/>
      </rPr>
      <t>+</t>
    </r>
    <r>
      <rPr>
        <sz val="10.5"/>
        <color theme="1"/>
        <rFont val="宋体"/>
        <charset val="134"/>
      </rPr>
      <t>活性炭</t>
    </r>
    <r>
      <rPr>
        <sz val="10.5"/>
        <color theme="1"/>
        <rFont val="Times New Roman"/>
        <charset val="134"/>
      </rPr>
      <t>”</t>
    </r>
    <r>
      <rPr>
        <sz val="10.5"/>
        <color theme="1"/>
        <rFont val="宋体"/>
        <charset val="134"/>
      </rPr>
      <t>处理达标后引至</t>
    </r>
    <r>
      <rPr>
        <sz val="10.5"/>
        <color theme="1"/>
        <rFont val="Times New Roman"/>
        <charset val="134"/>
      </rPr>
      <t>15m</t>
    </r>
    <r>
      <rPr>
        <sz val="10.5"/>
        <color theme="1"/>
        <rFont val="宋体"/>
        <charset val="134"/>
      </rPr>
      <t>排气筒排放，经核算</t>
    </r>
    <r>
      <rPr>
        <sz val="10.5"/>
        <color rgb="FFFF0000"/>
        <rFont val="宋体"/>
        <charset val="134"/>
      </rPr>
      <t>排气筒的排放浓度</t>
    </r>
    <r>
      <rPr>
        <sz val="10.5"/>
        <color rgb="FFFF0000"/>
        <rFont val="Times New Roman"/>
        <charset val="134"/>
      </rPr>
      <t>3.97mg/m3</t>
    </r>
    <r>
      <rPr>
        <sz val="10.5"/>
        <color rgb="FFFF0000"/>
        <rFont val="宋体"/>
        <charset val="134"/>
      </rPr>
      <t>和排放速率</t>
    </r>
    <r>
      <rPr>
        <sz val="10.5"/>
        <color rgb="FFFF0000"/>
        <rFont val="Times New Roman"/>
        <charset val="134"/>
      </rPr>
      <t>0.064kg/h</t>
    </r>
    <r>
      <rPr>
        <sz val="10.5"/>
        <color theme="1"/>
        <rFont val="宋体"/>
        <charset val="134"/>
      </rPr>
      <t>，可达到《合成树脂工业污染物排放标准》（</t>
    </r>
    <r>
      <rPr>
        <sz val="10.5"/>
        <color theme="1"/>
        <rFont val="Times New Roman"/>
        <charset val="134"/>
      </rPr>
      <t>GB31572-2015</t>
    </r>
    <r>
      <rPr>
        <sz val="10.5"/>
        <color theme="1"/>
        <rFont val="宋体"/>
        <charset val="134"/>
      </rPr>
      <t>）中非甲烷总烃的相关标准，对周围环境和敏感点影响不大。</t>
    </r>
  </si>
  <si>
    <t>挤出VOCs</t>
  </si>
  <si>
    <r>
      <rPr>
        <sz val="10.5"/>
        <color theme="1"/>
        <rFont val="Times New Roman"/>
        <charset val="134"/>
      </rPr>
      <t>项目生产时不涉及废旧塑料的使用，挤出塑料热熔挤出时会产生有机废气，其污染因子主要为非甲烷总烃。根据《空气污染物排放和控制手册》（美国国家环保局）中推荐的公式塑料加工废气排放系数，非甲烷总烃排放系数为0.35 kg/t</t>
    </r>
    <r>
      <rPr>
        <sz val="10.5"/>
        <color theme="1"/>
        <rFont val="宋体"/>
        <charset val="134"/>
      </rPr>
      <t>树脂原料。项目年使用</t>
    </r>
    <r>
      <rPr>
        <sz val="10.5"/>
        <color rgb="FFFF0000"/>
        <rFont val="Times New Roman"/>
        <charset val="134"/>
      </rPr>
      <t>ABS</t>
    </r>
    <r>
      <rPr>
        <sz val="10.5"/>
        <color rgb="FFFF0000"/>
        <rFont val="宋体"/>
        <charset val="134"/>
      </rPr>
      <t>、</t>
    </r>
    <r>
      <rPr>
        <sz val="10.5"/>
        <color rgb="FFFF0000"/>
        <rFont val="Times New Roman"/>
        <charset val="134"/>
      </rPr>
      <t>PC</t>
    </r>
    <r>
      <rPr>
        <sz val="10.5"/>
        <color rgb="FFFF0000"/>
        <rFont val="宋体"/>
        <charset val="134"/>
      </rPr>
      <t>、</t>
    </r>
    <r>
      <rPr>
        <sz val="10.5"/>
        <color rgb="FFFF0000"/>
        <rFont val="Times New Roman"/>
        <charset val="134"/>
      </rPr>
      <t>AS</t>
    </r>
    <r>
      <rPr>
        <sz val="10.5"/>
        <color theme="1"/>
        <rFont val="宋体"/>
        <charset val="134"/>
      </rPr>
      <t>等塑料总使用量是</t>
    </r>
    <r>
      <rPr>
        <sz val="10.5"/>
        <color rgb="FFFF0000"/>
        <rFont val="Times New Roman"/>
        <charset val="134"/>
      </rPr>
      <t>363 t</t>
    </r>
    <r>
      <rPr>
        <sz val="10.5"/>
        <color theme="1"/>
        <rFont val="宋体"/>
        <charset val="134"/>
      </rPr>
      <t>，非甲烷总烃产生量是</t>
    </r>
    <r>
      <rPr>
        <sz val="10.5"/>
        <color rgb="FFFF0000"/>
        <rFont val="Times New Roman"/>
        <charset val="134"/>
      </rPr>
      <t>127 kg/a</t>
    </r>
    <r>
      <rPr>
        <sz val="10.5"/>
        <color theme="1"/>
        <rFont val="宋体"/>
        <charset val="134"/>
      </rPr>
      <t>，项目将挤出废气进行收集后于</t>
    </r>
    <r>
      <rPr>
        <sz val="10.5"/>
        <color theme="1"/>
        <rFont val="Times New Roman"/>
        <charset val="134"/>
      </rPr>
      <t>“</t>
    </r>
    <r>
      <rPr>
        <sz val="10.5"/>
        <color theme="1"/>
        <rFont val="宋体"/>
        <charset val="134"/>
      </rPr>
      <t>等离子</t>
    </r>
    <r>
      <rPr>
        <sz val="10.5"/>
        <color theme="1"/>
        <rFont val="Times New Roman"/>
        <charset val="134"/>
      </rPr>
      <t>+</t>
    </r>
    <r>
      <rPr>
        <sz val="10.5"/>
        <color theme="1"/>
        <rFont val="宋体"/>
        <charset val="134"/>
      </rPr>
      <t>活性炭</t>
    </r>
    <r>
      <rPr>
        <sz val="10.5"/>
        <color theme="1"/>
        <rFont val="Times New Roman"/>
        <charset val="134"/>
      </rPr>
      <t>”</t>
    </r>
    <r>
      <rPr>
        <sz val="10.5"/>
        <color theme="1"/>
        <rFont val="宋体"/>
        <charset val="134"/>
      </rPr>
      <t>处理后</t>
    </r>
    <r>
      <rPr>
        <sz val="10.5"/>
        <color theme="1"/>
        <rFont val="Times New Roman"/>
        <charset val="134"/>
      </rPr>
      <t>15</t>
    </r>
    <r>
      <rPr>
        <sz val="10.5"/>
        <color theme="1"/>
        <rFont val="宋体"/>
        <charset val="134"/>
      </rPr>
      <t>米排气筒排放，收集效率约</t>
    </r>
    <r>
      <rPr>
        <sz val="10.5"/>
        <color theme="1"/>
        <rFont val="Times New Roman"/>
        <charset val="134"/>
      </rPr>
      <t>90%</t>
    </r>
    <r>
      <rPr>
        <sz val="10.5"/>
        <color theme="1"/>
        <rFont val="宋体"/>
        <charset val="134"/>
      </rPr>
      <t>，风机风量为</t>
    </r>
    <r>
      <rPr>
        <sz val="10.5"/>
        <color theme="1"/>
        <rFont val="Times New Roman"/>
        <charset val="134"/>
      </rPr>
      <t>16000m</t>
    </r>
    <r>
      <rPr>
        <vertAlign val="superscript"/>
        <sz val="10.5"/>
        <color theme="1"/>
        <rFont val="Times New Roman"/>
        <charset val="134"/>
      </rPr>
      <t>3</t>
    </r>
    <r>
      <rPr>
        <sz val="10.5"/>
        <color theme="1"/>
        <rFont val="Times New Roman"/>
        <charset val="134"/>
      </rPr>
      <t>/h</t>
    </r>
    <r>
      <rPr>
        <sz val="10.5"/>
        <color theme="1"/>
        <rFont val="宋体"/>
        <charset val="134"/>
      </rPr>
      <t>，收集后引至楼顶排放，</t>
    </r>
    <r>
      <rPr>
        <sz val="10.5"/>
        <color rgb="FFFF0000"/>
        <rFont val="宋体"/>
        <charset val="134"/>
      </rPr>
      <t>故有组织排放量是</t>
    </r>
    <r>
      <rPr>
        <sz val="10.5"/>
        <color rgb="FFFF0000"/>
        <rFont val="Times New Roman"/>
        <charset val="134"/>
      </rPr>
      <t>252 kg/a</t>
    </r>
    <r>
      <rPr>
        <sz val="10.5"/>
        <color rgb="FFFF0000"/>
        <rFont val="宋体"/>
        <charset val="134"/>
      </rPr>
      <t>。</t>
    </r>
  </si>
  <si>
    <r>
      <rPr>
        <sz val="10.5"/>
        <color theme="1"/>
        <rFont val="Times New Roman"/>
        <charset val="134"/>
      </rPr>
      <t>项目生产时不涉及废旧塑料的使用，仅挤出塑料热熔时会产生有机废气，其污染因子主要为非甲烷总烃。经收集后于等离子+</t>
    </r>
    <r>
      <rPr>
        <sz val="10.5"/>
        <color theme="1"/>
        <rFont val="宋体"/>
        <charset val="134"/>
      </rPr>
      <t>活性炭处理设施处理达标后于</t>
    </r>
    <r>
      <rPr>
        <sz val="10.5"/>
        <color theme="1"/>
        <rFont val="Times New Roman"/>
        <charset val="134"/>
      </rPr>
      <t>15</t>
    </r>
    <r>
      <rPr>
        <sz val="10.5"/>
        <color theme="1"/>
        <rFont val="宋体"/>
        <charset val="134"/>
      </rPr>
      <t>米排气筒排放。经核算，排气筒的排放浓度</t>
    </r>
    <r>
      <rPr>
        <sz val="10.5"/>
        <color rgb="FFFF0000"/>
        <rFont val="Times New Roman"/>
        <charset val="134"/>
      </rPr>
      <t>3.97mg/m</t>
    </r>
    <r>
      <rPr>
        <vertAlign val="superscript"/>
        <sz val="10.5"/>
        <color rgb="FFFF0000"/>
        <rFont val="Times New Roman"/>
        <charset val="134"/>
      </rPr>
      <t>3</t>
    </r>
    <r>
      <rPr>
        <sz val="10.5"/>
        <color rgb="FFFF0000"/>
        <rFont val="宋体"/>
        <charset val="134"/>
      </rPr>
      <t>和排放速率</t>
    </r>
    <r>
      <rPr>
        <sz val="10.5"/>
        <color rgb="FFFF0000"/>
        <rFont val="Times New Roman"/>
        <charset val="134"/>
      </rPr>
      <t>0.064kg/h</t>
    </r>
    <r>
      <rPr>
        <sz val="10.5"/>
        <color rgb="FFFF0000"/>
        <rFont val="宋体"/>
        <charset val="134"/>
      </rPr>
      <t>，</t>
    </r>
    <r>
      <rPr>
        <sz val="10.5"/>
        <color theme="1"/>
        <rFont val="宋体"/>
        <charset val="134"/>
      </rPr>
      <t>均可达到《合成树脂工业污染物排放标准》（</t>
    </r>
    <r>
      <rPr>
        <sz val="10.5"/>
        <color theme="1"/>
        <rFont val="Times New Roman"/>
        <charset val="134"/>
      </rPr>
      <t>GB31572-2015</t>
    </r>
    <r>
      <rPr>
        <sz val="10.5"/>
        <color theme="1"/>
        <rFont val="宋体"/>
        <charset val="134"/>
      </rPr>
      <t>）最高允许排放浓度限值，对周围环境敏感点影响不大。</t>
    </r>
  </si>
  <si>
    <t>吸塑VOCs</t>
  </si>
  <si>
    <t>搅拌</t>
  </si>
  <si>
    <t>分散、搅拌</t>
  </si>
  <si>
    <t>分散搅拌过程产生的有机废气</t>
  </si>
  <si>
    <r>
      <rPr>
        <sz val="10.5"/>
        <color theme="1"/>
        <rFont val="Times New Roman"/>
        <charset val="134"/>
      </rPr>
      <t>项目大气污染物来自生产环保组合聚醚生产工序内所排放有机废气（VOCs</t>
    </r>
    <r>
      <rPr>
        <sz val="10.5"/>
        <color theme="1"/>
        <rFont val="宋体"/>
        <charset val="134"/>
      </rPr>
      <t>）。根据《顺德区环境运输和城市管理局转发关于印发</t>
    </r>
    <r>
      <rPr>
        <sz val="10.5"/>
        <color theme="1"/>
        <rFont val="Times New Roman"/>
        <charset val="134"/>
      </rPr>
      <t xml:space="preserve"> 2014 </t>
    </r>
    <r>
      <rPr>
        <sz val="10.5"/>
        <color theme="1"/>
        <rFont val="宋体"/>
        <charset val="134"/>
      </rPr>
      <t>年佛山市陶瓷行业、玻璃制造行业、</t>
    </r>
    <r>
      <rPr>
        <sz val="10.5"/>
        <color theme="1"/>
        <rFont val="Times New Roman"/>
        <charset val="134"/>
      </rPr>
      <t xml:space="preserve"> </t>
    </r>
    <r>
      <rPr>
        <sz val="10.5"/>
        <color theme="1"/>
        <rFont val="宋体"/>
        <charset val="134"/>
      </rPr>
      <t>铝型材行业和</t>
    </r>
    <r>
      <rPr>
        <sz val="10.5"/>
        <color theme="1"/>
        <rFont val="Times New Roman"/>
        <charset val="134"/>
      </rPr>
      <t xml:space="preserve">VOCs </t>
    </r>
    <r>
      <rPr>
        <sz val="10.5"/>
        <color theme="1"/>
        <rFont val="宋体"/>
        <charset val="134"/>
      </rPr>
      <t>排放企业</t>
    </r>
    <r>
      <rPr>
        <sz val="10.5"/>
        <color theme="1"/>
        <rFont val="Times New Roman"/>
        <charset val="134"/>
      </rPr>
      <t xml:space="preserve"> </t>
    </r>
    <r>
      <rPr>
        <sz val="10.5"/>
        <color theme="1"/>
        <rFont val="宋体"/>
        <charset val="134"/>
      </rPr>
      <t>整治方案的通知》（顺管函</t>
    </r>
    <r>
      <rPr>
        <sz val="10.5"/>
        <color theme="1"/>
        <rFont val="Times New Roman"/>
        <charset val="134"/>
      </rPr>
      <t>[2014]510</t>
    </r>
    <r>
      <rPr>
        <sz val="10.5"/>
        <color theme="1"/>
        <rFont val="宋体"/>
        <charset val="134"/>
      </rPr>
      <t>号），</t>
    </r>
    <r>
      <rPr>
        <sz val="10.5"/>
        <color theme="1"/>
        <rFont val="Times New Roman"/>
        <charset val="134"/>
      </rPr>
      <t>VOCs</t>
    </r>
    <r>
      <rPr>
        <sz val="10.5"/>
        <color theme="1"/>
        <rFont val="宋体"/>
        <charset val="134"/>
      </rPr>
      <t>参照广东省地方标准《家具制造业挥发性有机化合物排放标准》（</t>
    </r>
    <r>
      <rPr>
        <sz val="10.5"/>
        <color theme="1"/>
        <rFont val="Times New Roman"/>
        <charset val="134"/>
      </rPr>
      <t>DB44/814-2010</t>
    </r>
    <r>
      <rPr>
        <sz val="10.5"/>
        <color theme="1"/>
        <rFont val="宋体"/>
        <charset val="134"/>
      </rPr>
      <t>）中Ⅱ时段排放限值。</t>
    </r>
  </si>
  <si>
    <r>
      <rPr>
        <sz val="10.5"/>
        <color theme="1"/>
        <rFont val="Times New Roman"/>
        <charset val="134"/>
      </rPr>
      <t>项目生产各类环保组合聚醚过程中使用的搅拌缸为密闭式搅拌缸，分散、搅拌过程全密闭，因此本项目废气排放主要来源于搅拌缸投料和卸料时开盖挥发出的有机废气，污染因子为VOCs</t>
    </r>
    <r>
      <rPr>
        <sz val="10.5"/>
        <color theme="1"/>
        <rFont val="宋体"/>
        <charset val="134"/>
      </rPr>
      <t>。项目投料和卸料开盖挥发出的有机废气经集气罩收集后引至</t>
    </r>
    <r>
      <rPr>
        <sz val="10.5"/>
        <color theme="1"/>
        <rFont val="Times New Roman"/>
        <charset val="134"/>
      </rPr>
      <t>15</t>
    </r>
    <r>
      <rPr>
        <sz val="10.5"/>
        <color theme="1"/>
        <rFont val="宋体"/>
        <charset val="134"/>
      </rPr>
      <t>米排气筒（</t>
    </r>
    <r>
      <rPr>
        <sz val="10.5"/>
        <color theme="1"/>
        <rFont val="Times New Roman"/>
        <charset val="134"/>
      </rPr>
      <t>1#</t>
    </r>
    <r>
      <rPr>
        <sz val="10.5"/>
        <color theme="1"/>
        <rFont val="宋体"/>
        <charset val="134"/>
      </rPr>
      <t>）排放。</t>
    </r>
    <r>
      <rPr>
        <sz val="10.5"/>
        <color theme="1"/>
        <rFont val="Times New Roman"/>
        <charset val="134"/>
      </rPr>
      <t xml:space="preserve">
</t>
    </r>
    <r>
      <rPr>
        <sz val="10.5"/>
        <color theme="1"/>
        <rFont val="宋体"/>
        <charset val="134"/>
      </rPr>
      <t>项目生产各类环保组合聚醚过程中，仅发生物理混合作用，原材料间不发生化学反应，而由于设备投料和卸料过程开盖，会使少量的原材料发生挥发（主要为</t>
    </r>
    <r>
      <rPr>
        <sz val="10.5"/>
        <color theme="1"/>
        <rFont val="Times New Roman"/>
        <charset val="134"/>
      </rPr>
      <t>245fa</t>
    </r>
    <r>
      <rPr>
        <sz val="10.5"/>
        <color theme="1"/>
        <rFont val="宋体"/>
        <charset val="134"/>
      </rPr>
      <t>、乙酸钾等，根据附件</t>
    </r>
    <r>
      <rPr>
        <sz val="10.5"/>
        <color theme="1"/>
        <rFont val="Times New Roman"/>
        <charset val="134"/>
      </rPr>
      <t>6</t>
    </r>
    <r>
      <rPr>
        <sz val="10.5"/>
        <color theme="1"/>
        <rFont val="宋体"/>
        <charset val="134"/>
      </rPr>
      <t>原辅材料的物化性质可知，项目原辅材料在常温常压下性质较稳定，单批次用量较少，挥发较少），根据企业实验室对两种产品按照配方模拟生产工艺的实验，测试各产品在模拟生产过程时的挥发损失情况，经测试环保组合聚醚的挥发系数约为</t>
    </r>
    <r>
      <rPr>
        <sz val="10.5"/>
        <color theme="1"/>
        <rFont val="Times New Roman"/>
        <charset val="134"/>
      </rPr>
      <t>0.01%</t>
    </r>
    <r>
      <rPr>
        <sz val="10.5"/>
        <color theme="1"/>
        <rFont val="宋体"/>
        <charset val="134"/>
      </rPr>
      <t>计算（实验方法见表</t>
    </r>
    <r>
      <rPr>
        <sz val="10.5"/>
        <color theme="1"/>
        <rFont val="Times New Roman"/>
        <charset val="134"/>
      </rPr>
      <t>5.2</t>
    </r>
    <r>
      <rPr>
        <sz val="10.5"/>
        <color theme="1"/>
        <rFont val="宋体"/>
        <charset val="134"/>
      </rPr>
      <t>），本项目将所有设备同时运作的情况下视为最大负荷生产情况。</t>
    </r>
    <r>
      <rPr>
        <sz val="10.5"/>
        <color theme="1"/>
        <rFont val="Times New Roman"/>
        <charset val="134"/>
      </rPr>
      <t>VOCs</t>
    </r>
    <r>
      <rPr>
        <sz val="10.5"/>
        <color theme="1"/>
        <rFont val="宋体"/>
        <charset val="134"/>
      </rPr>
      <t>挥发量按实验所测得的挥发系数计算，有机废气经搅拌缸上方的集气罩收集后通过</t>
    </r>
    <r>
      <rPr>
        <sz val="10.5"/>
        <color theme="1"/>
        <rFont val="Times New Roman"/>
        <charset val="134"/>
      </rPr>
      <t>1#</t>
    </r>
    <r>
      <rPr>
        <sz val="10.5"/>
        <color theme="1"/>
        <rFont val="宋体"/>
        <charset val="134"/>
      </rPr>
      <t>排气筒排放，处理风量为</t>
    </r>
    <r>
      <rPr>
        <sz val="10.5"/>
        <color theme="1"/>
        <rFont val="Times New Roman"/>
        <charset val="134"/>
      </rPr>
      <t>10000m3/h</t>
    </r>
    <r>
      <rPr>
        <sz val="10.5"/>
        <color theme="1"/>
        <rFont val="宋体"/>
        <charset val="134"/>
      </rPr>
      <t>，集气罩收集效率为</t>
    </r>
    <r>
      <rPr>
        <sz val="10.5"/>
        <color theme="1"/>
        <rFont val="Times New Roman"/>
        <charset val="134"/>
      </rPr>
      <t>90%</t>
    </r>
    <r>
      <rPr>
        <sz val="10.5"/>
        <color theme="1"/>
        <rFont val="宋体"/>
        <charset val="134"/>
      </rPr>
      <t>，同时核算项目有机废气年产生和排放量。</t>
    </r>
    <r>
      <rPr>
        <sz val="10.5"/>
        <color theme="1"/>
        <rFont val="Times New Roman"/>
        <charset val="134"/>
      </rPr>
      <t xml:space="preserve">
</t>
    </r>
  </si>
  <si>
    <r>
      <rPr>
        <sz val="10.5"/>
        <color theme="1"/>
        <rFont val="Times New Roman"/>
        <charset val="134"/>
      </rPr>
      <t xml:space="preserve">项目生产过程中大气污染主要为分散、搅拌过程产生的有机废气。
</t>
    </r>
    <r>
      <rPr>
        <sz val="10.5"/>
        <color theme="1"/>
        <rFont val="宋体"/>
        <charset val="134"/>
      </rPr>
      <t>分散、搅拌有机废气。项目生产各类环保组合聚醚过程中会挥发少量的有机废气，有机废气经搅拌缸上方的集气罩收集后通过</t>
    </r>
    <r>
      <rPr>
        <sz val="10.5"/>
        <color theme="1"/>
        <rFont val="Times New Roman"/>
        <charset val="134"/>
      </rPr>
      <t>1#</t>
    </r>
    <r>
      <rPr>
        <sz val="10.5"/>
        <color theme="1"/>
        <rFont val="宋体"/>
        <charset val="134"/>
      </rPr>
      <t>排气筒排放，收集效率为</t>
    </r>
    <r>
      <rPr>
        <sz val="10.5"/>
        <color theme="1"/>
        <rFont val="Times New Roman"/>
        <charset val="134"/>
      </rPr>
      <t>90%</t>
    </r>
    <r>
      <rPr>
        <sz val="10.5"/>
        <color theme="1"/>
        <rFont val="宋体"/>
        <charset val="134"/>
      </rPr>
      <t>，经工程分析核算，有组织排放量为</t>
    </r>
    <r>
      <rPr>
        <sz val="10.5"/>
        <color theme="1"/>
        <rFont val="Times New Roman"/>
        <charset val="134"/>
      </rPr>
      <t>0.04kg/h</t>
    </r>
    <r>
      <rPr>
        <sz val="10.5"/>
        <color theme="1"/>
        <rFont val="宋体"/>
        <charset val="134"/>
      </rPr>
      <t>，</t>
    </r>
    <r>
      <rPr>
        <sz val="10.5"/>
        <color theme="1"/>
        <rFont val="Times New Roman"/>
        <charset val="134"/>
      </rPr>
      <t>0.0945t/a</t>
    </r>
    <r>
      <rPr>
        <sz val="10.5"/>
        <color theme="1"/>
        <rFont val="宋体"/>
        <charset val="134"/>
      </rPr>
      <t>，排放浓度为</t>
    </r>
    <r>
      <rPr>
        <sz val="10.5"/>
        <color theme="1"/>
        <rFont val="Times New Roman"/>
        <charset val="134"/>
      </rPr>
      <t>3.94mg/m3,</t>
    </r>
    <r>
      <rPr>
        <sz val="10.5"/>
        <color theme="1"/>
        <rFont val="宋体"/>
        <charset val="134"/>
      </rPr>
      <t>无组织排放量为</t>
    </r>
    <r>
      <rPr>
        <sz val="10.5"/>
        <color theme="1"/>
        <rFont val="Times New Roman"/>
        <charset val="134"/>
      </rPr>
      <t>0.0105t/a</t>
    </r>
    <r>
      <rPr>
        <sz val="10.5"/>
        <color theme="1"/>
        <rFont val="宋体"/>
        <charset val="134"/>
      </rPr>
      <t>，厂界排放浓度为</t>
    </r>
    <r>
      <rPr>
        <sz val="10.5"/>
        <color theme="1"/>
        <rFont val="Times New Roman"/>
        <charset val="134"/>
      </rPr>
      <t>0.0004mg/m3</t>
    </r>
    <r>
      <rPr>
        <sz val="10.5"/>
        <color theme="1"/>
        <rFont val="宋体"/>
        <charset val="134"/>
      </rPr>
      <t>，满足《家具制造行业挥发性有机化合物排放标准（</t>
    </r>
    <r>
      <rPr>
        <sz val="10.5"/>
        <color theme="1"/>
        <rFont val="Times New Roman"/>
        <charset val="134"/>
      </rPr>
      <t>DB44/814-2010</t>
    </r>
    <r>
      <rPr>
        <sz val="10.5"/>
        <color theme="1"/>
        <rFont val="宋体"/>
        <charset val="134"/>
      </rPr>
      <t>）》第二时段标准，对环境影响不大。</t>
    </r>
    <r>
      <rPr>
        <sz val="10.5"/>
        <color theme="1"/>
        <rFont val="Times New Roman"/>
        <charset val="134"/>
      </rPr>
      <t xml:space="preserve">
</t>
    </r>
  </si>
  <si>
    <r>
      <rPr>
        <sz val="10.5"/>
        <color theme="1"/>
        <rFont val="Times New Roman"/>
        <charset val="134"/>
      </rPr>
      <t>经集气罩收集后通过15</t>
    </r>
    <r>
      <rPr>
        <sz val="10.5"/>
        <color theme="1"/>
        <rFont val="宋体"/>
        <charset val="134"/>
      </rPr>
      <t>米排气筒排放（</t>
    </r>
    <r>
      <rPr>
        <sz val="10.5"/>
        <color theme="1"/>
        <rFont val="Times New Roman"/>
        <charset val="134"/>
      </rPr>
      <t>1#</t>
    </r>
    <r>
      <rPr>
        <sz val="10.5"/>
        <color theme="1"/>
        <rFont val="宋体"/>
        <charset val="134"/>
      </rPr>
      <t>排气筒）</t>
    </r>
  </si>
  <si>
    <t>分散</t>
  </si>
  <si>
    <t>反应</t>
  </si>
  <si>
    <t>胶</t>
  </si>
  <si>
    <t>喷枪</t>
  </si>
  <si>
    <t>喷胶</t>
  </si>
  <si>
    <t>喷胶过程产生的有机废气（水性胶水）</t>
  </si>
  <si>
    <r>
      <rPr>
        <sz val="10.5"/>
        <color theme="1"/>
        <rFont val="Times New Roman"/>
        <charset val="134"/>
      </rPr>
      <t>喷胶过程中产生的有机废气执行《家具制造行业挥发性有机化合物排放标准（DB44/814-2010</t>
    </r>
    <r>
      <rPr>
        <sz val="10.5"/>
        <color theme="1"/>
        <rFont val="宋体"/>
        <charset val="134"/>
      </rPr>
      <t>）》相应标准。</t>
    </r>
  </si>
  <si>
    <r>
      <rPr>
        <sz val="10.5"/>
        <color theme="1"/>
        <rFont val="Times New Roman"/>
        <charset val="134"/>
      </rPr>
      <t>项目喷胶需要用胶水。项目年用胶水1</t>
    </r>
    <r>
      <rPr>
        <sz val="10.5"/>
        <color theme="1"/>
        <rFont val="宋体"/>
        <charset val="134"/>
      </rPr>
      <t>吨，每天喷胶时间为</t>
    </r>
    <r>
      <rPr>
        <sz val="10.5"/>
        <color theme="1"/>
        <rFont val="Times New Roman"/>
        <charset val="134"/>
      </rPr>
      <t>5h</t>
    </r>
    <r>
      <rPr>
        <sz val="10.5"/>
        <color theme="1"/>
        <rFont val="宋体"/>
        <charset val="134"/>
      </rPr>
      <t>，每小时胶水用量为</t>
    </r>
    <r>
      <rPr>
        <sz val="10.5"/>
        <color theme="1"/>
        <rFont val="Times New Roman"/>
        <charset val="134"/>
      </rPr>
      <t>0.67kg</t>
    </r>
    <r>
      <rPr>
        <sz val="10.5"/>
        <color theme="1"/>
        <rFont val="宋体"/>
        <charset val="134"/>
      </rPr>
      <t>。项目使用水性胶水，根据企业提供的水性胶</t>
    </r>
    <r>
      <rPr>
        <sz val="10.5"/>
        <color theme="1"/>
        <rFont val="Times New Roman"/>
        <charset val="134"/>
      </rPr>
      <t>MSDSD</t>
    </r>
    <r>
      <rPr>
        <sz val="10.5"/>
        <color theme="1"/>
        <rFont val="宋体"/>
        <charset val="134"/>
      </rPr>
      <t>，其</t>
    </r>
    <r>
      <rPr>
        <sz val="10.5"/>
        <color theme="1"/>
        <rFont val="Times New Roman"/>
        <charset val="134"/>
      </rPr>
      <t>VOCs</t>
    </r>
    <r>
      <rPr>
        <sz val="10.5"/>
        <color theme="1"/>
        <rFont val="宋体"/>
        <charset val="134"/>
      </rPr>
      <t>挥发量按</t>
    </r>
    <r>
      <rPr>
        <sz val="10.5"/>
        <color theme="1"/>
        <rFont val="Times New Roman"/>
        <charset val="134"/>
      </rPr>
      <t>10%</t>
    </r>
    <r>
      <rPr>
        <sz val="10.5"/>
        <color theme="1"/>
        <rFont val="宋体"/>
        <charset val="134"/>
      </rPr>
      <t>算，则总</t>
    </r>
    <r>
      <rPr>
        <sz val="10.5"/>
        <color theme="1"/>
        <rFont val="Times New Roman"/>
        <charset val="134"/>
      </rPr>
      <t>VOCs</t>
    </r>
    <r>
      <rPr>
        <sz val="10.5"/>
        <color theme="1"/>
        <rFont val="宋体"/>
        <charset val="134"/>
      </rPr>
      <t>产生量为</t>
    </r>
    <r>
      <rPr>
        <sz val="10.5"/>
        <color theme="1"/>
        <rFont val="Times New Roman"/>
        <charset val="134"/>
      </rPr>
      <t>100kg/a</t>
    </r>
    <r>
      <rPr>
        <sz val="10.5"/>
        <color theme="1"/>
        <rFont val="宋体"/>
        <charset val="134"/>
      </rPr>
      <t>，产生速率为</t>
    </r>
    <r>
      <rPr>
        <sz val="10.5"/>
        <color theme="1"/>
        <rFont val="Times New Roman"/>
        <charset val="134"/>
      </rPr>
      <t>0.11kg/h</t>
    </r>
    <r>
      <rPr>
        <sz val="10.5"/>
        <color theme="1"/>
        <rFont val="宋体"/>
        <charset val="134"/>
      </rPr>
      <t>。企业拟设置集气罩将喷胶废气收集通过</t>
    </r>
    <r>
      <rPr>
        <sz val="10.5"/>
        <color theme="1"/>
        <rFont val="Times New Roman"/>
        <charset val="134"/>
      </rPr>
      <t>15m</t>
    </r>
    <r>
      <rPr>
        <sz val="10.5"/>
        <color theme="1"/>
        <rFont val="宋体"/>
        <charset val="134"/>
      </rPr>
      <t>排气筒排放。</t>
    </r>
  </si>
  <si>
    <r>
      <rPr>
        <sz val="10.5"/>
        <color theme="1"/>
        <rFont val="Times New Roman"/>
        <charset val="134"/>
      </rPr>
      <t>项目喷胶采用水性胶水，因喷胶量较少，，VOCs</t>
    </r>
    <r>
      <rPr>
        <sz val="10.5"/>
        <color theme="1"/>
        <rFont val="宋体"/>
        <charset val="134"/>
      </rPr>
      <t>经集气罩收集后引至</t>
    </r>
    <r>
      <rPr>
        <sz val="10.5"/>
        <color theme="1"/>
        <rFont val="Times New Roman"/>
        <charset val="134"/>
      </rPr>
      <t>15m</t>
    </r>
    <r>
      <rPr>
        <sz val="10.5"/>
        <color theme="1"/>
        <rFont val="宋体"/>
        <charset val="134"/>
      </rPr>
      <t>排气筒排放，项目采用环保水性胶，使用量不大，可达标排放。排放量为</t>
    </r>
    <r>
      <rPr>
        <sz val="10.5"/>
        <color theme="1"/>
        <rFont val="Times New Roman"/>
        <charset val="134"/>
      </rPr>
      <t>90kg/a</t>
    </r>
    <r>
      <rPr>
        <sz val="10.5"/>
        <color theme="1"/>
        <rFont val="宋体"/>
        <charset val="134"/>
      </rPr>
      <t>，排放浓度为</t>
    </r>
    <r>
      <rPr>
        <sz val="10.5"/>
        <color theme="1"/>
        <rFont val="Times New Roman"/>
        <charset val="134"/>
      </rPr>
      <t>13.4mg/m3,</t>
    </r>
    <r>
      <rPr>
        <sz val="10.5"/>
        <color theme="1"/>
        <rFont val="宋体"/>
        <charset val="134"/>
      </rPr>
      <t>可达到《家具制造行业挥发性有机化合物排放标准（</t>
    </r>
    <r>
      <rPr>
        <sz val="10.5"/>
        <color theme="1"/>
        <rFont val="Times New Roman"/>
        <charset val="134"/>
      </rPr>
      <t>DB44/814-2010</t>
    </r>
    <r>
      <rPr>
        <sz val="10.5"/>
        <color theme="1"/>
        <rFont val="宋体"/>
        <charset val="134"/>
      </rPr>
      <t>）》有组织排放标准（第Ⅱ时段），对周围环境影响不明显。</t>
    </r>
  </si>
  <si>
    <r>
      <rPr>
        <sz val="10.5"/>
        <color theme="1"/>
        <rFont val="Times New Roman"/>
        <charset val="134"/>
      </rPr>
      <t>经集气罩收集后通过一个不低于15m</t>
    </r>
    <r>
      <rPr>
        <sz val="10.5"/>
        <color theme="1"/>
        <rFont val="宋体"/>
        <charset val="134"/>
      </rPr>
      <t>的排气筒排放</t>
    </r>
  </si>
  <si>
    <t>脱模剂</t>
  </si>
  <si>
    <t>压铸烟尘和油雾</t>
  </si>
  <si>
    <r>
      <rPr>
        <sz val="10.5"/>
        <color theme="1"/>
        <rFont val="Times New Roman"/>
        <charset val="134"/>
      </rPr>
      <t xml:space="preserve">根据《顺德区环境运输和城市管理局转发关于印发2014 </t>
    </r>
    <r>
      <rPr>
        <sz val="10.5"/>
        <color theme="1"/>
        <rFont val="宋体"/>
        <charset val="134"/>
      </rPr>
      <t>年佛山市陶瓷行、玻璃制造行业、铝型材行业和</t>
    </r>
    <r>
      <rPr>
        <sz val="10.5"/>
        <color theme="1"/>
        <rFont val="Times New Roman"/>
        <charset val="134"/>
      </rPr>
      <t xml:space="preserve">VOCs </t>
    </r>
    <r>
      <rPr>
        <sz val="10.5"/>
        <color theme="1"/>
        <rFont val="宋体"/>
        <charset val="134"/>
      </rPr>
      <t>排放企业整治方案的通知</t>
    </r>
    <r>
      <rPr>
        <sz val="10.5"/>
        <color theme="1"/>
        <rFont val="Times New Roman"/>
        <charset val="134"/>
      </rPr>
      <t xml:space="preserve"> </t>
    </r>
    <r>
      <rPr>
        <sz val="10.5"/>
        <color theme="1"/>
        <rFont val="宋体"/>
        <charset val="134"/>
      </rPr>
      <t>》（顺管函</t>
    </r>
    <r>
      <rPr>
        <sz val="10.5"/>
        <color theme="1"/>
        <rFont val="Times New Roman"/>
        <charset val="134"/>
      </rPr>
      <t>[2014]510</t>
    </r>
    <r>
      <rPr>
        <sz val="10.5"/>
        <color theme="1"/>
        <rFont val="宋体"/>
        <charset val="134"/>
      </rPr>
      <t>号），</t>
    </r>
    <r>
      <rPr>
        <sz val="10.5"/>
        <color theme="1"/>
        <rFont val="Times New Roman"/>
        <charset val="134"/>
      </rPr>
      <t>“</t>
    </r>
    <r>
      <rPr>
        <sz val="10.5"/>
        <color theme="1"/>
        <rFont val="宋体"/>
        <charset val="134"/>
      </rPr>
      <t>在国家、省未出台行业标准前，金属制品、铝型材、设备制造行业参照执行《表面涂装</t>
    </r>
    <r>
      <rPr>
        <sz val="10.5"/>
        <color theme="1"/>
        <rFont val="Times New Roman"/>
        <charset val="134"/>
      </rPr>
      <t>(</t>
    </r>
    <r>
      <rPr>
        <sz val="10.5"/>
        <color theme="1"/>
        <rFont val="宋体"/>
        <charset val="134"/>
      </rPr>
      <t>汽车制造业</t>
    </r>
    <r>
      <rPr>
        <sz val="10.5"/>
        <color theme="1"/>
        <rFont val="Times New Roman"/>
        <charset val="134"/>
      </rPr>
      <t>)</t>
    </r>
    <r>
      <rPr>
        <sz val="10.5"/>
        <color theme="1"/>
        <rFont val="宋体"/>
        <charset val="134"/>
      </rPr>
      <t>挥发性有机化合物排放标准</t>
    </r>
    <r>
      <rPr>
        <sz val="10.5"/>
        <color theme="1"/>
        <rFont val="Times New Roman"/>
        <charset val="134"/>
      </rPr>
      <t>(DB44/816-2010)</t>
    </r>
    <r>
      <rPr>
        <sz val="10.5"/>
        <color theme="1"/>
        <rFont val="宋体"/>
        <charset val="134"/>
      </rPr>
      <t>》；其他行业参照执行《家具制造行业挥发性有机化合物排放标准（</t>
    </r>
    <r>
      <rPr>
        <sz val="10.5"/>
        <color theme="1"/>
        <rFont val="Times New Roman"/>
        <charset val="134"/>
      </rPr>
      <t>DB44/814-2010</t>
    </r>
    <r>
      <rPr>
        <sz val="10.5"/>
        <color theme="1"/>
        <rFont val="宋体"/>
        <charset val="134"/>
      </rPr>
      <t>）》</t>
    </r>
    <r>
      <rPr>
        <sz val="10.5"/>
        <color theme="1"/>
        <rFont val="Times New Roman"/>
        <charset val="134"/>
      </rPr>
      <t>”</t>
    </r>
    <r>
      <rPr>
        <sz val="10.5"/>
        <color theme="1"/>
        <rFont val="宋体"/>
        <charset val="134"/>
      </rPr>
      <t>。因此本项目压铸脱模剂产生的有机废气参照广东省地方标准《家具制造行业挥发性有机化合物排放标准》（</t>
    </r>
    <r>
      <rPr>
        <sz val="10.5"/>
        <color theme="1"/>
        <rFont val="Times New Roman"/>
        <charset val="134"/>
      </rPr>
      <t>DB44/814-2010</t>
    </r>
    <r>
      <rPr>
        <sz val="10.5"/>
        <color theme="1"/>
        <rFont val="宋体"/>
        <charset val="134"/>
      </rPr>
      <t>）第Ⅱ时段标准。</t>
    </r>
    <r>
      <rPr>
        <sz val="10.5"/>
        <color theme="1"/>
        <rFont val="Times New Roman"/>
        <charset val="134"/>
      </rPr>
      <t xml:space="preserve">
</t>
    </r>
    <r>
      <rPr>
        <sz val="10.5"/>
        <color theme="1"/>
        <rFont val="宋体"/>
        <charset val="134"/>
      </rPr>
      <t>颗粒物排放执行广东省地方标准《大气污染物排放限值标准》（</t>
    </r>
    <r>
      <rPr>
        <sz val="10.5"/>
        <color theme="1"/>
        <rFont val="Times New Roman"/>
        <charset val="134"/>
      </rPr>
      <t>DB44/27-2001</t>
    </r>
    <r>
      <rPr>
        <sz val="10.5"/>
        <color theme="1"/>
        <rFont val="宋体"/>
        <charset val="134"/>
      </rPr>
      <t>）中二级标准（第二时段）和无组织排放监控点浓度限值；具体如下表</t>
    </r>
    <r>
      <rPr>
        <sz val="10.5"/>
        <color theme="1"/>
        <rFont val="Times New Roman"/>
        <charset val="134"/>
      </rPr>
      <t xml:space="preserve">
</t>
    </r>
  </si>
  <si>
    <r>
      <rPr>
        <sz val="10.5"/>
        <color theme="1"/>
        <rFont val="Times New Roman"/>
        <charset val="134"/>
      </rPr>
      <t>“</t>
    </r>
    <r>
      <rPr>
        <sz val="10.5"/>
        <color theme="1"/>
        <rFont val="宋体"/>
        <charset val="134"/>
      </rPr>
      <t>静电除油器</t>
    </r>
    <r>
      <rPr>
        <sz val="10.5"/>
        <color theme="1"/>
        <rFont val="Times New Roman"/>
        <charset val="134"/>
      </rPr>
      <t>+</t>
    </r>
    <r>
      <rPr>
        <sz val="10.5"/>
        <color theme="1"/>
        <rFont val="宋体"/>
        <charset val="134"/>
      </rPr>
      <t>高温布袋除尘</t>
    </r>
    <r>
      <rPr>
        <sz val="10.5"/>
        <color theme="1"/>
        <rFont val="Times New Roman"/>
        <charset val="134"/>
      </rPr>
      <t>”</t>
    </r>
  </si>
  <si>
    <r>
      <rPr>
        <sz val="10.5"/>
        <color theme="1"/>
        <rFont val="Times New Roman"/>
        <charset val="134"/>
      </rPr>
      <t>项目压铸过程会使用脱模剂喷射脱模。本项目所用脱模剂为喷雾型水性脱模剂。在喷洒时与高温工件接触瞬间会有油雾产生，主要为颗粒物及总VOCs</t>
    </r>
    <r>
      <rPr>
        <sz val="10.5"/>
        <color theme="1"/>
        <rFont val="宋体"/>
        <charset val="134"/>
      </rPr>
      <t>。电熔炉熔融时会产生少量金属烟尘；另外由于钢材表面粘有油污，加热形成油污，污染因子均为颗粒物。</t>
    </r>
    <r>
      <rPr>
        <sz val="10.5"/>
        <color theme="1"/>
        <rFont val="Times New Roman"/>
        <charset val="134"/>
      </rPr>
      <t xml:space="preserve">
</t>
    </r>
    <r>
      <rPr>
        <sz val="10.5"/>
        <color theme="1"/>
        <rFont val="宋体"/>
        <charset val="134"/>
      </rPr>
      <t>根据脱模剂成份资料，油雾挥发量约为脱模剂使用量的</t>
    </r>
    <r>
      <rPr>
        <sz val="10.5"/>
        <color theme="1"/>
        <rFont val="Times New Roman"/>
        <charset val="134"/>
      </rPr>
      <t>25%</t>
    </r>
    <r>
      <rPr>
        <sz val="10.5"/>
        <color theme="1"/>
        <rFont val="宋体"/>
        <charset val="134"/>
      </rPr>
      <t>，其中</t>
    </r>
    <r>
      <rPr>
        <sz val="10.5"/>
        <color theme="1"/>
        <rFont val="Times New Roman"/>
        <charset val="134"/>
      </rPr>
      <t>VOCs</t>
    </r>
    <r>
      <rPr>
        <sz val="10.5"/>
        <color theme="1"/>
        <rFont val="宋体"/>
        <charset val="134"/>
      </rPr>
      <t>挥发量为</t>
    </r>
    <r>
      <rPr>
        <sz val="10.5"/>
        <color theme="1"/>
        <rFont val="Times New Roman"/>
        <charset val="134"/>
      </rPr>
      <t>5%</t>
    </r>
    <r>
      <rPr>
        <sz val="10.5"/>
        <color theme="1"/>
        <rFont val="宋体"/>
        <charset val="134"/>
      </rPr>
      <t>。</t>
    </r>
    <r>
      <rPr>
        <sz val="10.5"/>
        <color theme="1"/>
        <rFont val="Times New Roman"/>
        <charset val="134"/>
      </rPr>
      <t xml:space="preserve">
</t>
    </r>
    <r>
      <rPr>
        <sz val="10.5"/>
        <color theme="1"/>
        <rFont val="宋体"/>
        <charset val="134"/>
      </rPr>
      <t>根据实际调查可知，高温熔融钢材金属液体过程中产生的烟尘量相对不大，参考《第一次全国污染源普查工业污染源产排污系数手册》中第九分册的</t>
    </r>
    <r>
      <rPr>
        <sz val="10.5"/>
        <color theme="1"/>
        <rFont val="Times New Roman"/>
        <charset val="134"/>
      </rPr>
      <t>“</t>
    </r>
    <r>
      <rPr>
        <sz val="10.5"/>
        <color theme="1"/>
        <rFont val="宋体"/>
        <charset val="134"/>
      </rPr>
      <t>通用设备制造业</t>
    </r>
    <r>
      <rPr>
        <sz val="10.5"/>
        <color theme="1"/>
        <rFont val="Times New Roman"/>
        <charset val="134"/>
      </rPr>
      <t>”</t>
    </r>
    <r>
      <rPr>
        <sz val="10.5"/>
        <color theme="1"/>
        <rFont val="宋体"/>
        <charset val="134"/>
      </rPr>
      <t>中</t>
    </r>
    <r>
      <rPr>
        <sz val="10.5"/>
        <color theme="1"/>
        <rFont val="Times New Roman"/>
        <charset val="134"/>
      </rPr>
      <t>“</t>
    </r>
    <r>
      <rPr>
        <sz val="10.5"/>
        <color theme="1"/>
        <rFont val="宋体"/>
        <charset val="134"/>
      </rPr>
      <t>钢铁铸件制造业</t>
    </r>
    <r>
      <rPr>
        <sz val="10.5"/>
        <color theme="1"/>
        <rFont val="Times New Roman"/>
        <charset val="134"/>
      </rPr>
      <t>”</t>
    </r>
    <r>
      <rPr>
        <sz val="10.5"/>
        <color theme="1"/>
        <rFont val="宋体"/>
        <charset val="134"/>
      </rPr>
      <t>，其中铸钢件（结构材料：生钢、废钢）中烟尘产污系数</t>
    </r>
    <r>
      <rPr>
        <sz val="10.5"/>
        <color theme="1"/>
        <rFont val="Times New Roman"/>
        <charset val="134"/>
      </rPr>
      <t>6.5kg/t</t>
    </r>
    <r>
      <rPr>
        <sz val="10.5"/>
        <color theme="1"/>
        <rFont val="宋体"/>
        <charset val="134"/>
      </rPr>
      <t>产品。</t>
    </r>
    <r>
      <rPr>
        <sz val="10.5"/>
        <color theme="1"/>
        <rFont val="Times New Roman"/>
        <charset val="134"/>
      </rPr>
      <t xml:space="preserve">
</t>
    </r>
    <r>
      <rPr>
        <sz val="10.5"/>
        <color theme="1"/>
        <rFont val="宋体"/>
        <charset val="134"/>
      </rPr>
      <t>项目于压铸机压室上方以及电熔炉上方设置集气罩收集颗粒物，经</t>
    </r>
    <r>
      <rPr>
        <sz val="10.5"/>
        <color theme="1"/>
        <rFont val="Times New Roman"/>
        <charset val="134"/>
      </rPr>
      <t>“</t>
    </r>
    <r>
      <rPr>
        <sz val="10.5"/>
        <color theme="1"/>
        <rFont val="宋体"/>
        <charset val="134"/>
      </rPr>
      <t>静电除油器</t>
    </r>
    <r>
      <rPr>
        <sz val="10.5"/>
        <color theme="1"/>
        <rFont val="Times New Roman"/>
        <charset val="134"/>
      </rPr>
      <t>+</t>
    </r>
    <r>
      <rPr>
        <sz val="10.5"/>
        <color theme="1"/>
        <rFont val="宋体"/>
        <charset val="134"/>
      </rPr>
      <t>高温布袋除尘</t>
    </r>
    <r>
      <rPr>
        <sz val="10.5"/>
        <color theme="1"/>
        <rFont val="Times New Roman"/>
        <charset val="134"/>
      </rPr>
      <t>”</t>
    </r>
    <r>
      <rPr>
        <sz val="10.5"/>
        <color theme="1"/>
        <rFont val="宋体"/>
        <charset val="134"/>
      </rPr>
      <t>处理设施处理后通过</t>
    </r>
    <r>
      <rPr>
        <sz val="10.5"/>
        <color theme="1"/>
        <rFont val="Times New Roman"/>
        <charset val="134"/>
      </rPr>
      <t>15m</t>
    </r>
    <r>
      <rPr>
        <sz val="10.5"/>
        <color theme="1"/>
        <rFont val="宋体"/>
        <charset val="134"/>
      </rPr>
      <t>排气筒排放。收集效率</t>
    </r>
    <r>
      <rPr>
        <sz val="10.5"/>
        <color theme="1"/>
        <rFont val="Times New Roman"/>
        <charset val="134"/>
      </rPr>
      <t>90%</t>
    </r>
    <r>
      <rPr>
        <sz val="10.5"/>
        <color theme="1"/>
        <rFont val="宋体"/>
        <charset val="134"/>
      </rPr>
      <t>，</t>
    </r>
    <r>
      <rPr>
        <sz val="10.5"/>
        <color theme="1"/>
        <rFont val="Times New Roman"/>
        <charset val="134"/>
      </rPr>
      <t>“</t>
    </r>
    <r>
      <rPr>
        <sz val="10.5"/>
        <color theme="1"/>
        <rFont val="宋体"/>
        <charset val="134"/>
      </rPr>
      <t>静电除油器</t>
    </r>
    <r>
      <rPr>
        <sz val="10.5"/>
        <color theme="1"/>
        <rFont val="Times New Roman"/>
        <charset val="134"/>
      </rPr>
      <t>+</t>
    </r>
    <r>
      <rPr>
        <sz val="10.5"/>
        <color theme="1"/>
        <rFont val="宋体"/>
        <charset val="134"/>
      </rPr>
      <t>高温布袋除尘</t>
    </r>
    <r>
      <rPr>
        <sz val="10.5"/>
        <color theme="1"/>
        <rFont val="Times New Roman"/>
        <charset val="134"/>
      </rPr>
      <t>”</t>
    </r>
    <r>
      <rPr>
        <sz val="10.5"/>
        <color theme="1"/>
        <rFont val="宋体"/>
        <charset val="134"/>
      </rPr>
      <t>对颗粒物的处理效率按</t>
    </r>
    <r>
      <rPr>
        <sz val="10.5"/>
        <color theme="1"/>
        <rFont val="Times New Roman"/>
        <charset val="134"/>
      </rPr>
      <t>99%</t>
    </r>
    <r>
      <rPr>
        <sz val="10.5"/>
        <color theme="1"/>
        <rFont val="宋体"/>
        <charset val="134"/>
      </rPr>
      <t>算，风量为</t>
    </r>
    <r>
      <rPr>
        <sz val="10.5"/>
        <color theme="1"/>
        <rFont val="Times New Roman"/>
        <charset val="134"/>
      </rPr>
      <t>6000 m3/h</t>
    </r>
    <r>
      <rPr>
        <sz val="10.5"/>
        <color theme="1"/>
        <rFont val="宋体"/>
        <charset val="134"/>
      </rPr>
      <t>。</t>
    </r>
    <r>
      <rPr>
        <sz val="10.5"/>
        <color theme="1"/>
        <rFont val="Times New Roman"/>
        <charset val="134"/>
      </rPr>
      <t xml:space="preserve">
</t>
    </r>
    <r>
      <rPr>
        <sz val="10.5"/>
        <color theme="1"/>
        <rFont val="宋体"/>
        <charset val="134"/>
      </rPr>
      <t>项目年用脱模剂</t>
    </r>
    <r>
      <rPr>
        <sz val="10.5"/>
        <color theme="1"/>
        <rFont val="Times New Roman"/>
        <charset val="134"/>
      </rPr>
      <t>0.1</t>
    </r>
    <r>
      <rPr>
        <sz val="10.5"/>
        <color theme="1"/>
        <rFont val="宋体"/>
        <charset val="134"/>
      </rPr>
      <t>吨，钢材</t>
    </r>
    <r>
      <rPr>
        <sz val="10.5"/>
        <color theme="1"/>
        <rFont val="Times New Roman"/>
        <charset val="134"/>
      </rPr>
      <t>12</t>
    </r>
    <r>
      <rPr>
        <sz val="10.5"/>
        <color theme="1"/>
        <rFont val="宋体"/>
        <charset val="134"/>
      </rPr>
      <t>吨。项目压铸过程油雾仅与高温工件接触瞬间产生，因为项目配备</t>
    </r>
    <r>
      <rPr>
        <sz val="10.5"/>
        <color theme="1"/>
        <rFont val="Times New Roman"/>
        <charset val="134"/>
      </rPr>
      <t>2</t>
    </r>
    <r>
      <rPr>
        <sz val="10.5"/>
        <color theme="1"/>
        <rFont val="宋体"/>
        <charset val="134"/>
      </rPr>
      <t>台压铸机连续生产，每个工件生产时间较短，项目油雾可视为连续产生。电熔融烟尘亦为连续产生。压铸工序每天连续工作</t>
    </r>
    <r>
      <rPr>
        <sz val="10.5"/>
        <color theme="1"/>
        <rFont val="Times New Roman"/>
        <charset val="134"/>
      </rPr>
      <t>4</t>
    </r>
    <r>
      <rPr>
        <sz val="10.5"/>
        <color theme="1"/>
        <rFont val="宋体"/>
        <charset val="134"/>
      </rPr>
      <t>小时。</t>
    </r>
    <r>
      <rPr>
        <sz val="10.5"/>
        <color theme="1"/>
        <rFont val="Times New Roman"/>
        <charset val="134"/>
      </rPr>
      <t xml:space="preserve">
</t>
    </r>
  </si>
  <si>
    <r>
      <rPr>
        <sz val="10.5"/>
        <color theme="1"/>
        <rFont val="Times New Roman"/>
        <charset val="134"/>
      </rPr>
      <t>在熔融和压铸过程中使用电炉高温加热钢材使其形成熔融态时，会产生含少量的烟尘，污染因子为颗粒物。另外，项目压铸过程会使用脱模剂，使压铸件易于脱出模具。本项目所用脱模剂为水性脱模剂。在脱模剂与高温金属液体接触瞬间会有油雾及有机废气产生，污染因子为颗粒物和VOCs</t>
    </r>
    <r>
      <rPr>
        <sz val="10.5"/>
        <color theme="1"/>
        <rFont val="宋体"/>
        <charset val="134"/>
      </rPr>
      <t>。建议在电熔炉上方以及压铸上方设置集气罩，将压铸烟尘及油雾经收集后先通过静电除油器去除油雾再经高温布袋除尘器处理，再通过</t>
    </r>
    <r>
      <rPr>
        <sz val="10.5"/>
        <color theme="1"/>
        <rFont val="Times New Roman"/>
        <charset val="134"/>
      </rPr>
      <t>15m</t>
    </r>
    <r>
      <rPr>
        <sz val="10.5"/>
        <color theme="1"/>
        <rFont val="宋体"/>
        <charset val="134"/>
      </rPr>
      <t>排气筒排放。经核算，颗粒物排放浓度为</t>
    </r>
    <r>
      <rPr>
        <sz val="10.5"/>
        <color theme="1"/>
        <rFont val="Times New Roman"/>
        <charset val="134"/>
      </rPr>
      <t>0.927mg/m3</t>
    </r>
    <r>
      <rPr>
        <sz val="10.5"/>
        <color theme="1"/>
        <rFont val="宋体"/>
        <charset val="134"/>
      </rPr>
      <t>，排放速率为</t>
    </r>
    <r>
      <rPr>
        <sz val="10.5"/>
        <color theme="1"/>
        <rFont val="Times New Roman"/>
        <charset val="134"/>
      </rPr>
      <t>0.0008kg/h</t>
    </r>
    <r>
      <rPr>
        <sz val="10.5"/>
        <color theme="1"/>
        <rFont val="宋体"/>
        <charset val="134"/>
      </rPr>
      <t>，</t>
    </r>
    <r>
      <rPr>
        <sz val="10.5"/>
        <color theme="1"/>
        <rFont val="Times New Roman"/>
        <charset val="134"/>
      </rPr>
      <t>VOCs</t>
    </r>
    <r>
      <rPr>
        <sz val="10.5"/>
        <color theme="1"/>
        <rFont val="宋体"/>
        <charset val="134"/>
      </rPr>
      <t>排放浓度为</t>
    </r>
    <r>
      <rPr>
        <sz val="10.5"/>
        <color theme="1"/>
        <rFont val="Times New Roman"/>
        <charset val="134"/>
      </rPr>
      <t>0.625mg/m3</t>
    </r>
    <r>
      <rPr>
        <sz val="10.5"/>
        <color theme="1"/>
        <rFont val="宋体"/>
        <charset val="134"/>
      </rPr>
      <t>，排放速率为</t>
    </r>
    <r>
      <rPr>
        <sz val="10.5"/>
        <color theme="1"/>
        <rFont val="Times New Roman"/>
        <charset val="134"/>
      </rPr>
      <t>0.004kg/h</t>
    </r>
    <r>
      <rPr>
        <sz val="10.5"/>
        <color theme="1"/>
        <rFont val="宋体"/>
        <charset val="134"/>
      </rPr>
      <t>，排放量少，对环境影响不明显。另外，项目北面的居民住宅，与压铸区域的最近距离为</t>
    </r>
    <r>
      <rPr>
        <sz val="10.5"/>
        <color theme="1"/>
        <rFont val="Times New Roman"/>
        <charset val="134"/>
      </rPr>
      <t>188m</t>
    </r>
    <r>
      <rPr>
        <sz val="10.5"/>
        <color theme="1"/>
        <rFont val="宋体"/>
        <charset val="134"/>
      </rPr>
      <t>。项目所在地的主导风向为南东南风，则敏感点均不位于项目的下风向。</t>
    </r>
    <r>
      <rPr>
        <sz val="10.5"/>
        <color theme="1"/>
        <rFont val="Times New Roman"/>
        <charset val="134"/>
      </rPr>
      <t>“</t>
    </r>
    <r>
      <rPr>
        <sz val="10.5"/>
        <color theme="1"/>
        <rFont val="宋体"/>
        <charset val="134"/>
      </rPr>
      <t>静电除油</t>
    </r>
    <r>
      <rPr>
        <sz val="10.5"/>
        <color theme="1"/>
        <rFont val="Times New Roman"/>
        <charset val="134"/>
      </rPr>
      <t>+</t>
    </r>
    <r>
      <rPr>
        <sz val="10.5"/>
        <color theme="1"/>
        <rFont val="宋体"/>
        <charset val="134"/>
      </rPr>
      <t>布袋除尘</t>
    </r>
    <r>
      <rPr>
        <sz val="10.5"/>
        <color theme="1"/>
        <rFont val="Times New Roman"/>
        <charset val="134"/>
      </rPr>
      <t>”</t>
    </r>
    <r>
      <rPr>
        <sz val="10.5"/>
        <color theme="1"/>
        <rFont val="宋体"/>
        <charset val="134"/>
      </rPr>
      <t>工艺成熟稳定。只要定期对静电除油器和布袋除尘器作保养维护，保证静电除油器和布袋除尘器的处理效率，预计压铸烟尘、油雾和总</t>
    </r>
    <r>
      <rPr>
        <sz val="10.5"/>
        <color theme="1"/>
        <rFont val="Times New Roman"/>
        <charset val="134"/>
      </rPr>
      <t>VOCs</t>
    </r>
    <r>
      <rPr>
        <sz val="10.5"/>
        <color theme="1"/>
        <rFont val="宋体"/>
        <charset val="134"/>
      </rPr>
      <t>经处理后达标排放，且对环境及敏感点影响不明显。综上，其废气的排放速率和排放浓度均符合广东省《大气污染物排放限值》（</t>
    </r>
    <r>
      <rPr>
        <sz val="10.5"/>
        <color theme="1"/>
        <rFont val="Times New Roman"/>
        <charset val="134"/>
      </rPr>
      <t>DB44/27-2001</t>
    </r>
    <r>
      <rPr>
        <sz val="10.5"/>
        <color theme="1"/>
        <rFont val="宋体"/>
        <charset val="134"/>
      </rPr>
      <t>）颗粒物厂界无组织排放浓度限值与《工业炉窑大气污染物排放标准》（</t>
    </r>
    <r>
      <rPr>
        <sz val="10.5"/>
        <color theme="1"/>
        <rFont val="Times New Roman"/>
        <charset val="134"/>
      </rPr>
      <t>GB9078-1996</t>
    </r>
    <r>
      <rPr>
        <sz val="10.5"/>
        <color theme="1"/>
        <rFont val="宋体"/>
        <charset val="134"/>
      </rPr>
      <t>）表</t>
    </r>
    <r>
      <rPr>
        <sz val="10.5"/>
        <color theme="1"/>
        <rFont val="Times New Roman"/>
        <charset val="134"/>
      </rPr>
      <t>3</t>
    </r>
    <r>
      <rPr>
        <sz val="10.5"/>
        <color theme="1"/>
        <rFont val="宋体"/>
        <charset val="134"/>
      </rPr>
      <t>无组织排放浓度限值的较严值要求。</t>
    </r>
    <r>
      <rPr>
        <sz val="10.5"/>
        <color theme="1"/>
        <rFont val="Times New Roman"/>
        <charset val="134"/>
      </rPr>
      <t xml:space="preserve">
</t>
    </r>
  </si>
  <si>
    <r>
      <rPr>
        <sz val="10.5"/>
        <color theme="1"/>
        <rFont val="Times New Roman"/>
        <charset val="134"/>
      </rPr>
      <t>经“</t>
    </r>
    <r>
      <rPr>
        <sz val="10.5"/>
        <color theme="1"/>
        <rFont val="宋体"/>
        <charset val="134"/>
      </rPr>
      <t>静电除油器</t>
    </r>
    <r>
      <rPr>
        <sz val="10.5"/>
        <color theme="1"/>
        <rFont val="Times New Roman"/>
        <charset val="134"/>
      </rPr>
      <t>+</t>
    </r>
    <r>
      <rPr>
        <sz val="10.5"/>
        <color theme="1"/>
        <rFont val="宋体"/>
        <charset val="134"/>
      </rPr>
      <t>高温布袋除尘</t>
    </r>
    <r>
      <rPr>
        <sz val="10.5"/>
        <color theme="1"/>
        <rFont val="Times New Roman"/>
        <charset val="134"/>
      </rPr>
      <t>”</t>
    </r>
    <r>
      <rPr>
        <sz val="10.5"/>
        <color theme="1"/>
        <rFont val="宋体"/>
        <charset val="134"/>
      </rPr>
      <t>处理设施处理后通过</t>
    </r>
    <r>
      <rPr>
        <sz val="10.5"/>
        <color theme="1"/>
        <rFont val="Times New Roman"/>
        <charset val="134"/>
      </rPr>
      <t>15m</t>
    </r>
    <r>
      <rPr>
        <sz val="10.5"/>
        <color theme="1"/>
        <rFont val="宋体"/>
        <charset val="134"/>
      </rPr>
      <t>排气筒排放</t>
    </r>
  </si>
  <si>
    <t>铁</t>
  </si>
  <si>
    <t>制管</t>
  </si>
  <si>
    <t>铜</t>
  </si>
  <si>
    <t>分条</t>
  </si>
  <si>
    <t>剪板</t>
  </si>
  <si>
    <t>液压</t>
  </si>
  <si>
    <t>水性油墨包装桶</t>
  </si>
  <si>
    <r>
      <rPr>
        <sz val="12"/>
        <color theme="1"/>
        <rFont val="宋体"/>
        <charset val="134"/>
      </rPr>
      <t>本项目水性油墨包装规格为</t>
    </r>
    <r>
      <rPr>
        <sz val="12"/>
        <color theme="1"/>
        <rFont val="Times New Roman"/>
        <charset val="134"/>
      </rPr>
      <t>10kg/</t>
    </r>
    <r>
      <rPr>
        <sz val="12"/>
        <color theme="1"/>
        <rFont val="宋体"/>
        <charset val="134"/>
      </rPr>
      <t>桶，空桶重量按</t>
    </r>
    <r>
      <rPr>
        <sz val="12"/>
        <color theme="1"/>
        <rFont val="Times New Roman"/>
        <charset val="134"/>
      </rPr>
      <t>1kg/</t>
    </r>
    <r>
      <rPr>
        <sz val="12"/>
        <color theme="1"/>
        <rFont val="宋体"/>
        <charset val="134"/>
      </rPr>
      <t>个，则水性油墨包装罐产生量为</t>
    </r>
    <r>
      <rPr>
        <sz val="12"/>
        <color rgb="FFFF0000"/>
        <rFont val="Times New Roman"/>
        <charset val="134"/>
      </rPr>
      <t>0.21t/a</t>
    </r>
    <r>
      <rPr>
        <sz val="12"/>
        <color theme="1"/>
        <rFont val="宋体"/>
        <charset val="134"/>
      </rPr>
      <t>，水性油墨包装罐交由供应商回收。</t>
    </r>
  </si>
  <si>
    <r>
      <rPr>
        <sz val="12"/>
        <color theme="1"/>
        <rFont val="宋体"/>
        <charset val="134"/>
      </rPr>
      <t>根据环境保护部环函</t>
    </r>
    <r>
      <rPr>
        <sz val="12"/>
        <color theme="1"/>
        <rFont val="Times New Roman"/>
        <charset val="134"/>
      </rPr>
      <t>[2014]126</t>
    </r>
    <r>
      <rPr>
        <sz val="12"/>
        <color theme="1"/>
        <rFont val="宋体"/>
        <charset val="134"/>
      </rPr>
      <t>号《关于用于原始用途的含有或直接沾染危险废物的包装物、容器是否属于危险废物问题的复函》，水性油墨的废桶罐定期由供应商回收重复利用，属于复函中的“用于原始用途的含有或直接沾染危险废物的包装物、容器”，不属于危险废物</t>
    </r>
  </si>
  <si>
    <t>交由供应商回收</t>
  </si>
  <si>
    <t>辅助列</t>
  </si>
  <si>
    <t>排放情况</t>
  </si>
  <si>
    <t>最高允许排放浓度（mg/m3)</t>
  </si>
  <si>
    <t>最高允许排放速率（kg/h)</t>
  </si>
  <si>
    <t>无组织排放监控点浓度限值（mg/m3）</t>
  </si>
  <si>
    <t>标准名称</t>
  </si>
  <si>
    <t>颗粒物</t>
  </si>
  <si>
    <t>无组织排放1</t>
  </si>
  <si>
    <t>/</t>
  </si>
  <si>
    <t>《大气污染物排放限值》(DB44/27-2001)</t>
  </si>
  <si>
    <t>焊接烟尘（含锰及其化合物）</t>
  </si>
  <si>
    <t>有组织排放</t>
  </si>
  <si>
    <t>抛光粉尘</t>
  </si>
  <si>
    <t>无组织排放2</t>
  </si>
  <si>
    <t>印刷有机废气（丝印）水性油墨</t>
  </si>
  <si>
    <t>印刷有机废气（凹印）水性油墨</t>
  </si>
  <si>
    <t>印刷有机废气（平板印刷）水性油墨</t>
  </si>
  <si>
    <t>印刷有机废气（凸印）水性油墨</t>
  </si>
  <si>
    <t>印刷有机废气（丝印）油性油墨</t>
  </si>
  <si>
    <t>甲苯与二甲苯合计</t>
  </si>
  <si>
    <t>甲苯</t>
  </si>
  <si>
    <t>二甲苯</t>
  </si>
  <si>
    <t>印刷有机废气（凹印）油性油墨</t>
  </si>
  <si>
    <t>印刷有机废气（平板印刷）油性油墨</t>
  </si>
  <si>
    <t>印刷有机废气（凸印）油性油墨</t>
  </si>
  <si>
    <t>涂布有机废气</t>
  </si>
  <si>
    <t>《家具制造行业挥发性有机化合物排放标准》(DB44/814-2010)</t>
  </si>
  <si>
    <t>塑料破碎粉尘</t>
  </si>
  <si>
    <t>《合成树脂工业污染物排放标准》(GB31572-2015)</t>
  </si>
  <si>
    <t>臭气浓度</t>
  </si>
  <si>
    <t>《恶臭污染物排放标准》(GB14554-93)</t>
  </si>
  <si>
    <t>非甲烷总烃</t>
  </si>
  <si>
    <r>
      <rPr>
        <sz val="10.5"/>
        <rFont val="宋体"/>
        <charset val="134"/>
      </rPr>
      <t>注塑过程产生的</t>
    </r>
    <r>
      <rPr>
        <sz val="10.5"/>
        <rFont val="Times New Roman"/>
        <charset val="134"/>
      </rPr>
      <t>VOCs</t>
    </r>
    <r>
      <rPr>
        <sz val="10.5"/>
        <rFont val="宋体"/>
        <charset val="134"/>
      </rPr>
      <t>（</t>
    </r>
    <r>
      <rPr>
        <sz val="10.5"/>
        <rFont val="Times New Roman"/>
        <charset val="134"/>
      </rPr>
      <t>PVC</t>
    </r>
    <r>
      <rPr>
        <sz val="10.5"/>
        <rFont val="宋体"/>
        <charset val="134"/>
      </rPr>
      <t>）</t>
    </r>
  </si>
  <si>
    <r>
      <rPr>
        <sz val="10.5"/>
        <rFont val="宋体"/>
        <charset val="134"/>
      </rPr>
      <t>挤出过程产生的</t>
    </r>
    <r>
      <rPr>
        <sz val="10.5"/>
        <rFont val="Times New Roman"/>
        <charset val="134"/>
      </rPr>
      <t>VOCs</t>
    </r>
    <r>
      <rPr>
        <sz val="10.5"/>
        <rFont val="宋体"/>
        <charset val="134"/>
      </rPr>
      <t>（其他塑料</t>
    </r>
    <r>
      <rPr>
        <sz val="10.5"/>
        <rFont val="Times New Roman"/>
        <charset val="134"/>
      </rPr>
      <t>+PVC</t>
    </r>
    <r>
      <rPr>
        <sz val="10.5"/>
        <rFont val="宋体"/>
        <charset val="134"/>
      </rPr>
      <t>）</t>
    </r>
  </si>
  <si>
    <r>
      <rPr>
        <sz val="10.5"/>
        <rFont val="宋体"/>
        <charset val="134"/>
      </rPr>
      <t>吸塑过程产生的</t>
    </r>
    <r>
      <rPr>
        <sz val="10.5"/>
        <rFont val="Times New Roman"/>
        <charset val="134"/>
      </rPr>
      <t>VOCs</t>
    </r>
    <r>
      <rPr>
        <sz val="10.5"/>
        <rFont val="宋体"/>
        <charset val="134"/>
      </rPr>
      <t>（其他塑料</t>
    </r>
    <r>
      <rPr>
        <sz val="10.5"/>
        <rFont val="Times New Roman"/>
        <charset val="134"/>
      </rPr>
      <t>+PVC</t>
    </r>
    <r>
      <rPr>
        <sz val="10.5"/>
        <rFont val="宋体"/>
        <charset val="134"/>
      </rPr>
      <t>）</t>
    </r>
  </si>
  <si>
    <r>
      <rPr>
        <sz val="10.5"/>
        <rFont val="宋体"/>
        <charset val="134"/>
      </rPr>
      <t>家具喷漆</t>
    </r>
    <r>
      <rPr>
        <sz val="10.5"/>
        <rFont val="Times New Roman"/>
        <charset val="134"/>
      </rPr>
      <t xml:space="preserve">VOCs </t>
    </r>
    <r>
      <rPr>
        <sz val="10.5"/>
        <rFont val="宋体"/>
        <charset val="134"/>
      </rPr>
      <t>水性</t>
    </r>
  </si>
  <si>
    <r>
      <rPr>
        <sz val="10.5"/>
        <rFont val="宋体"/>
        <charset val="134"/>
      </rPr>
      <t>家具喷漆</t>
    </r>
    <r>
      <rPr>
        <sz val="10.5"/>
        <rFont val="Times New Roman"/>
        <charset val="134"/>
      </rPr>
      <t xml:space="preserve">VOCs </t>
    </r>
    <r>
      <rPr>
        <sz val="10.5"/>
        <rFont val="宋体"/>
        <charset val="134"/>
      </rPr>
      <t>油性</t>
    </r>
  </si>
  <si>
    <r>
      <rPr>
        <sz val="10.5"/>
        <rFont val="宋体"/>
        <charset val="134"/>
      </rPr>
      <t>金属表面喷漆</t>
    </r>
    <r>
      <rPr>
        <sz val="10.5"/>
        <rFont val="Times New Roman"/>
        <charset val="134"/>
      </rPr>
      <t>VOCs</t>
    </r>
    <r>
      <rPr>
        <sz val="10.5"/>
        <rFont val="宋体"/>
        <charset val="134"/>
      </rPr>
      <t>水性</t>
    </r>
  </si>
  <si>
    <t>《表面涂装(汽车制造业)挥发性有机化合物排放标准(DB44/816-2010)》</t>
  </si>
  <si>
    <r>
      <rPr>
        <sz val="10.5"/>
        <rFont val="宋体"/>
        <charset val="134"/>
      </rPr>
      <t>金属表面喷漆</t>
    </r>
    <r>
      <rPr>
        <sz val="10.5"/>
        <rFont val="Times New Roman"/>
        <charset val="134"/>
      </rPr>
      <t>VOCs</t>
    </r>
    <r>
      <rPr>
        <sz val="10.5"/>
        <rFont val="宋体"/>
        <charset val="134"/>
      </rPr>
      <t>油性</t>
    </r>
  </si>
  <si>
    <t>锅炉燃天然气废气</t>
  </si>
  <si>
    <t>二氧化硫</t>
  </si>
  <si>
    <t>《锅炉大气污染物排放标准》(GB13271-2014)表2新建锅炉大气污染物排放浓度限值</t>
  </si>
  <si>
    <t>氮氧化物</t>
  </si>
  <si>
    <t>锅炉燃石油气废气</t>
  </si>
  <si>
    <t>经三级化粪处理后排入污水处理厂</t>
  </si>
  <si>
    <t>经三级化粪达到广东省地方标准《水污染物排放限值》（DB44/26-2001）第二时段三级标准后经市政管网排入污水处理厂进一步处理，尾水排入。废水经达标处理后对周围环境影响不大。</t>
  </si>
  <si>
    <t>经独立生活污水处理设施处理后排入内河涌</t>
  </si>
  <si>
    <r>
      <rPr>
        <b/>
        <sz val="9"/>
        <color indexed="8"/>
        <rFont val="宋体"/>
        <charset val="134"/>
      </rPr>
      <t>经独立生活污水处理设施处理达到《城镇污水处理厂污染物排放标准》（</t>
    </r>
    <r>
      <rPr>
        <b/>
        <sz val="9"/>
        <color indexed="8"/>
        <rFont val="Times New Roman"/>
        <charset val="134"/>
      </rPr>
      <t>GB18918-2002</t>
    </r>
    <r>
      <rPr>
        <b/>
        <sz val="9"/>
        <color indexed="8"/>
        <rFont val="宋体"/>
        <charset val="134"/>
      </rPr>
      <t>）中的二级标准后排入内河涌排入附近内河涌</t>
    </r>
  </si>
  <si>
    <r>
      <rPr>
        <b/>
        <sz val="9"/>
        <color indexed="8"/>
        <rFont val="宋体"/>
        <charset val="134"/>
      </rPr>
      <t>经自建废水处理设施处理后，达到《城镇污水处理厂污染物排放标准》（</t>
    </r>
    <r>
      <rPr>
        <b/>
        <sz val="9"/>
        <color indexed="8"/>
        <rFont val="Times New Roman"/>
        <charset val="134"/>
      </rPr>
      <t>GB18918-2002</t>
    </r>
    <r>
      <rPr>
        <b/>
        <sz val="9"/>
        <color indexed="8"/>
        <rFont val="宋体"/>
        <charset val="134"/>
      </rPr>
      <t>）中的二级标准后排入内河涌，即</t>
    </r>
    <r>
      <rPr>
        <b/>
        <sz val="9"/>
        <color indexed="8"/>
        <rFont val="Times New Roman"/>
        <charset val="134"/>
      </rPr>
      <t>CODcr</t>
    </r>
    <r>
      <rPr>
        <b/>
        <sz val="9"/>
        <color indexed="8"/>
        <rFont val="宋体"/>
        <charset val="134"/>
      </rPr>
      <t>≤</t>
    </r>
    <r>
      <rPr>
        <b/>
        <sz val="9"/>
        <color indexed="8"/>
        <rFont val="Times New Roman"/>
        <charset val="134"/>
      </rPr>
      <t>100mg/L</t>
    </r>
    <r>
      <rPr>
        <b/>
        <sz val="9"/>
        <color indexed="8"/>
        <rFont val="宋体"/>
        <charset val="134"/>
      </rPr>
      <t>，</t>
    </r>
    <r>
      <rPr>
        <b/>
        <sz val="9"/>
        <color indexed="8"/>
        <rFont val="Times New Roman"/>
        <charset val="134"/>
      </rPr>
      <t>BOD</t>
    </r>
    <r>
      <rPr>
        <b/>
        <sz val="9"/>
        <color indexed="8"/>
        <rFont val="宋体"/>
        <charset val="134"/>
      </rPr>
      <t>≤</t>
    </r>
    <r>
      <rPr>
        <b/>
        <sz val="9"/>
        <color indexed="8"/>
        <rFont val="Times New Roman"/>
        <charset val="134"/>
      </rPr>
      <t>30mg/L</t>
    </r>
    <r>
      <rPr>
        <b/>
        <sz val="9"/>
        <color indexed="8"/>
        <rFont val="宋体"/>
        <charset val="134"/>
      </rPr>
      <t>，</t>
    </r>
    <r>
      <rPr>
        <b/>
        <sz val="9"/>
        <color indexed="8"/>
        <rFont val="Times New Roman"/>
        <charset val="134"/>
      </rPr>
      <t>SS</t>
    </r>
    <r>
      <rPr>
        <b/>
        <sz val="9"/>
        <color indexed="8"/>
        <rFont val="宋体"/>
        <charset val="134"/>
      </rPr>
      <t>≤</t>
    </r>
    <r>
      <rPr>
        <b/>
        <sz val="9"/>
        <color indexed="8"/>
        <rFont val="Times New Roman"/>
        <charset val="134"/>
      </rPr>
      <t>30mg/L</t>
    </r>
    <r>
      <rPr>
        <b/>
        <sz val="9"/>
        <color indexed="8"/>
        <rFont val="宋体"/>
        <charset val="134"/>
      </rPr>
      <t>，</t>
    </r>
    <r>
      <rPr>
        <b/>
        <sz val="9"/>
        <color indexed="8"/>
        <rFont val="Times New Roman"/>
        <charset val="134"/>
      </rPr>
      <t>NH3-N</t>
    </r>
    <r>
      <rPr>
        <b/>
        <sz val="9"/>
        <color indexed="8"/>
        <rFont val="宋体"/>
        <charset val="134"/>
      </rPr>
      <t>≤</t>
    </r>
    <r>
      <rPr>
        <b/>
        <sz val="9"/>
        <color indexed="8"/>
        <rFont val="Times New Roman"/>
        <charset val="134"/>
      </rPr>
      <t>25mg/L</t>
    </r>
    <r>
      <rPr>
        <b/>
        <sz val="9"/>
        <color indexed="8"/>
        <rFont val="宋体"/>
        <charset val="134"/>
      </rPr>
      <t>。</t>
    </r>
  </si>
  <si>
    <r>
      <rPr>
        <sz val="10"/>
        <rFont val="宋体"/>
        <charset val="134"/>
      </rPr>
      <t>《地表水环境质量标准》（</t>
    </r>
    <r>
      <rPr>
        <sz val="10"/>
        <rFont val="Times New Roman"/>
        <charset val="134"/>
      </rPr>
      <t>GB3838-2002</t>
    </r>
    <r>
      <rPr>
        <sz val="10"/>
        <rFont val="宋体"/>
        <charset val="134"/>
      </rPr>
      <t>）</t>
    </r>
  </si>
  <si>
    <t>Ⅱ类</t>
  </si>
  <si>
    <t>Ⅲ类</t>
  </si>
  <si>
    <t>Ⅳ类</t>
  </si>
  <si>
    <t>单位mg/L（pH除外）</t>
  </si>
  <si>
    <t>pH</t>
  </si>
  <si>
    <t>6-9</t>
  </si>
  <si>
    <t>COD</t>
  </si>
  <si>
    <r>
      <rPr>
        <sz val="10"/>
        <color rgb="FFFF0000"/>
        <rFont val="Times New Roman"/>
        <charset val="134"/>
      </rPr>
      <t>BOD</t>
    </r>
    <r>
      <rPr>
        <vertAlign val="subscript"/>
        <sz val="10"/>
        <color indexed="10"/>
        <rFont val="Times New Roman"/>
        <charset val="134"/>
      </rPr>
      <t>5</t>
    </r>
  </si>
  <si>
    <r>
      <rPr>
        <sz val="10"/>
        <color rgb="FFFF0000"/>
        <rFont val="Times New Roman"/>
        <charset val="134"/>
      </rPr>
      <t>NH</t>
    </r>
    <r>
      <rPr>
        <vertAlign val="subscript"/>
        <sz val="10"/>
        <color indexed="10"/>
        <rFont val="Times New Roman"/>
        <charset val="134"/>
      </rPr>
      <t>3</t>
    </r>
    <r>
      <rPr>
        <sz val="10"/>
        <color indexed="10"/>
        <rFont val="Times New Roman"/>
        <charset val="134"/>
      </rPr>
      <t>-N</t>
    </r>
  </si>
  <si>
    <r>
      <rPr>
        <sz val="10"/>
        <rFont val="宋体"/>
        <charset val="134"/>
      </rPr>
      <t>溶解氧</t>
    </r>
  </si>
  <si>
    <t>LAS</t>
  </si>
  <si>
    <r>
      <rPr>
        <sz val="10"/>
        <rFont val="宋体"/>
        <charset val="134"/>
      </rPr>
      <t>粪大肠菌群</t>
    </r>
  </si>
  <si>
    <t>是否进入污水厂</t>
  </si>
  <si>
    <t>纳污水体</t>
  </si>
  <si>
    <t>地表水质量标准</t>
  </si>
  <si>
    <t>潭洲水道</t>
  </si>
  <si>
    <t>综合用水</t>
  </si>
  <si>
    <t>大门</t>
  </si>
  <si>
    <t>顺德支流</t>
  </si>
  <si>
    <t>逢沙</t>
  </si>
  <si>
    <t>李家沙水道</t>
  </si>
  <si>
    <t>海洲水道</t>
  </si>
  <si>
    <t>内河涌</t>
  </si>
  <si>
    <t>景观、农用功能</t>
  </si>
  <si>
    <t>桂洲水道</t>
  </si>
  <si>
    <t>二污</t>
  </si>
  <si>
    <t>洪奇沥水道</t>
  </si>
  <si>
    <t>北滘-不入</t>
  </si>
  <si>
    <t>北滘镇2016年监测内河涌断面污染物均达到了GB3838-2002之IV类水质标准。</t>
  </si>
  <si>
    <t>北滘-入污</t>
  </si>
  <si>
    <t>潭洲水道全部指标均满足《地表水环境质量标准》（GB3838-2002）之Ⅲ类水功能要求，水质较好。</t>
  </si>
  <si>
    <t>陈村-不入</t>
  </si>
  <si>
    <t>陈村镇2016年监测内河涌断面污染物指标均符合GB3838-2002之IV类水质标准。</t>
  </si>
  <si>
    <t>陈村-入污</t>
  </si>
  <si>
    <r>
      <rPr>
        <sz val="10.5"/>
        <color rgb="FF000000"/>
        <rFont val="宋体"/>
        <charset val="134"/>
      </rPr>
      <t>陈村水道江口断面水质指标均能满足《地表水环境质量标准》（</t>
    </r>
    <r>
      <rPr>
        <sz val="10.5"/>
        <color rgb="FF000000"/>
        <rFont val="Times New Roman"/>
        <charset val="134"/>
      </rPr>
      <t>GB3838-2002</t>
    </r>
    <r>
      <rPr>
        <sz val="10.5"/>
        <color rgb="FF000000"/>
        <rFont val="宋体"/>
        <charset val="134"/>
      </rPr>
      <t>）之Ⅲ类水功能要求，水质较好。</t>
    </r>
  </si>
  <si>
    <t>大良-不入</t>
  </si>
  <si>
    <t>大良街道办事处2016年监测内河涌除大良河五坊桥断面氨氮、总磷超出GB3838-2002之IV类水质标准外，其它河涌断面及指标均达到了GB3838-2002之IV类水质标准。随着大良街道办污水处理厂纳污范围的不断扩大，大良分散式农村污水处理的实施，大良街道办事处内河涌的水质将会得到改善。</t>
  </si>
  <si>
    <t>大良-入污-大门</t>
  </si>
  <si>
    <r>
      <rPr>
        <sz val="11"/>
        <color theme="1"/>
        <rFont val="等线"/>
        <charset val="134"/>
      </rPr>
      <t>顺德支流飞鹅山断面水质指标均满足《地表水环境质量标准》（</t>
    </r>
    <r>
      <rPr>
        <sz val="12"/>
        <color theme="1"/>
        <rFont val="Times New Roman"/>
        <charset val="134"/>
      </rPr>
      <t>GB3838-2002</t>
    </r>
    <r>
      <rPr>
        <sz val="12"/>
        <color theme="1"/>
        <rFont val="宋体"/>
        <charset val="134"/>
      </rPr>
      <t>）之Ⅲ类水功能要求，水质较好。</t>
    </r>
  </si>
  <si>
    <t>大良-入污-逢沙</t>
  </si>
  <si>
    <t>2015年李家沙水道五沙断面水质均能满足《地表水环境质量标准》（GB3838-2002）之Ⅲ类水功能要求，水质较好。</t>
  </si>
  <si>
    <t>均安-不入</t>
  </si>
  <si>
    <t>均安镇2016年监测内河涌除凫洲河新华敬老院侧断面氨氮指标超标外，其它指标均达到了GB3838-2002之IV类水质标准。随着均安污水处理厂纳污范围的不断扩大，均安分散式农村污水处理的实施，均安镇内河涌的水质将会得到改善。</t>
  </si>
  <si>
    <t>均安-入污</t>
  </si>
  <si>
    <t xml:space="preserve"> 海洲水道的三个监测断面涨潮和落潮期间pH、磷酸盐、氨氮和阴离子表面活性剂均达到了《地表水环境质量标准》（GB3838－2002）III类标准限值要求，溶解氧标准指数为1.18~2.91，全部超标；CODCr标准指数为2.26~2.60，超标率为100%；BOD5标准指数为2.13~3.78，3个点位监测数据超标。上游监测断面W1点石油类、CODCr和BOD5监测结果均超标，涨潮时期尤为明显，主要原因是内河涌高浓度的废水随水流进入到海洲水道内，引起水质超标。随着均安镇生活污水处理管网的进一步扩大和海洲水道两侧分散式污水处理站的建设和运营，生活污水处理率的提升，废水治理的规范化，海洲水道水质将得到改善。</t>
  </si>
  <si>
    <t>乐从-不入</t>
  </si>
  <si>
    <t>乐从镇2016年监测内河涌各断面污染物指标全部满足GB3838-2002之IV类水质标准要求。</t>
  </si>
  <si>
    <t>乐从-入污</t>
  </si>
  <si>
    <t>乐从镇2015年部分内河涌污染物指标全部满足GB3838-2002之IV类水质标准要求。</t>
  </si>
  <si>
    <t>勒流-不入</t>
  </si>
  <si>
    <t>勒流街道2016年监测内河涌各断面污染物指标全部达到GB3838-2002之IV类水质标准。</t>
  </si>
  <si>
    <t>勒流-入污</t>
  </si>
  <si>
    <t>顺德支流新涌断面水质指标均满足《地表水环境质量标准》（GB3838-2002）之Ⅲ类水功能要求，水质较好。</t>
  </si>
  <si>
    <t>龙江-不入</t>
  </si>
  <si>
    <t>龙江镇2016年监测内河涌除氨氮超出GB3838-2002之IV类水质标准外，其它指标均达到了GB3838-2002之IV类水质标准。随着龙江污水处理厂纳污范围的不断扩大，龙江分散式农村污水处理的实施，龙江镇内河涌的水质将会更加改善。</t>
  </si>
  <si>
    <t>龙江-入污</t>
  </si>
  <si>
    <t>龙江镇2015年部分内河涌污染物指标均达到了GB3838-2002之IV类水质标准。</t>
  </si>
  <si>
    <t>伦教-不入</t>
  </si>
  <si>
    <t>伦教街道2016年监测内河涌断面污染物均达到了GB3838-2002之IV类水质标准。</t>
  </si>
  <si>
    <t>伦教-入污</t>
  </si>
  <si>
    <t>李家沙水道五沙断面水质均能满足《地表水环境质量标准》（GB3838-2002）之Ⅲ类水功能要求，水质较好。</t>
  </si>
  <si>
    <t>容桂-不入</t>
  </si>
  <si>
    <t>容桂街道办事处2016年监测内河涌部分断面氨氮、总磷超出GB3838-2002之IV类水质标准，其它指标均达到了GB3838-2002之IV类水质标准。随着容桂污水处理厂纳污范围的不断扩大，容桂分散式农村污水处理的实施，容桂街道办事处内河涌的水质将会得到改善。</t>
  </si>
  <si>
    <t>容桂-入污-一污</t>
  </si>
  <si>
    <t>桂洲水道南头桥断面水质均能满足《地表水环境质量标准》（GB3838-2002）之Ⅲ类水功能要求，水质较好。</t>
  </si>
  <si>
    <t>容桂-入污-二污</t>
  </si>
  <si>
    <t>洪奇沥水道高黎断面水质指标均能满足《地表水环境质量标准》（GB3838-2002）之Ⅲ类水功能要求，水质较好。</t>
  </si>
  <si>
    <t>杏坛-不入</t>
  </si>
  <si>
    <t>杏坛镇2016年监测内河涌污染物氨氮、总磷超出GB3838-2002之IV类水质标准，其它指标均达到了GB3838-2002之IV类水质标准。随着杏坛污水处理厂纳污范围的不断扩大，杏坛分散式农村污水处理的实施，杏坛镇内河涌的水质将会得到改善。</t>
  </si>
  <si>
    <t>杏坛-入污</t>
  </si>
  <si>
    <t>2015年顺德支流飞鹅山断面水质均能满足《地表水环境质量标准》（GB3838-2002）之Ⅲ类水功能要求，水质较好。</t>
  </si>
  <si>
    <r>
      <rPr>
        <sz val="10"/>
        <color rgb="FFFF0000"/>
        <rFont val="宋体"/>
        <charset val="134"/>
      </rPr>
      <t>《地下水质量标准》（</t>
    </r>
    <r>
      <rPr>
        <sz val="10"/>
        <color indexed="10"/>
        <rFont val="Times New Roman"/>
        <charset val="134"/>
      </rPr>
      <t>GB/T14848-93</t>
    </r>
    <r>
      <rPr>
        <sz val="10"/>
        <color indexed="10"/>
        <rFont val="宋体"/>
        <charset val="134"/>
      </rPr>
      <t>）</t>
    </r>
  </si>
  <si>
    <t>Ⅰ类</t>
  </si>
  <si>
    <t>Ⅴ类</t>
  </si>
  <si>
    <t>6.5-8.5</t>
  </si>
  <si>
    <t>5.5-9</t>
  </si>
  <si>
    <t>&lt;5.5, &gt;9</t>
  </si>
  <si>
    <t>总硬度上限</t>
  </si>
  <si>
    <r>
      <rPr>
        <sz val="10"/>
        <color indexed="10"/>
        <rFont val="宋体"/>
        <charset val="134"/>
      </rPr>
      <t>≤</t>
    </r>
    <r>
      <rPr>
        <sz val="10"/>
        <color indexed="10"/>
        <rFont val="Times New Roman"/>
        <charset val="134"/>
      </rPr>
      <t>150</t>
    </r>
  </si>
  <si>
    <r>
      <rPr>
        <sz val="10"/>
        <color rgb="FFFF0000"/>
        <rFont val="宋体"/>
        <charset val="134"/>
      </rPr>
      <t>≤</t>
    </r>
    <r>
      <rPr>
        <sz val="10"/>
        <color rgb="FFFF0000"/>
        <rFont val="Times New Roman"/>
        <charset val="134"/>
      </rPr>
      <t>300</t>
    </r>
  </si>
  <si>
    <r>
      <rPr>
        <sz val="10"/>
        <color rgb="FFFF0000"/>
        <rFont val="宋体"/>
        <charset val="134"/>
      </rPr>
      <t>≤</t>
    </r>
    <r>
      <rPr>
        <sz val="10"/>
        <color rgb="FFFF0000"/>
        <rFont val="Times New Roman"/>
        <charset val="134"/>
      </rPr>
      <t>450</t>
    </r>
  </si>
  <si>
    <r>
      <rPr>
        <sz val="10"/>
        <color rgb="FFFF0000"/>
        <rFont val="宋体"/>
        <charset val="134"/>
      </rPr>
      <t>≤</t>
    </r>
    <r>
      <rPr>
        <sz val="10"/>
        <color rgb="FFFF0000"/>
        <rFont val="Times New Roman"/>
        <charset val="134"/>
      </rPr>
      <t>550</t>
    </r>
  </si>
  <si>
    <t>&gt;550</t>
  </si>
  <si>
    <t>溶解性总固体上限</t>
  </si>
  <si>
    <r>
      <rPr>
        <sz val="10"/>
        <color rgb="FFFF0000"/>
        <rFont val="宋体"/>
        <charset val="134"/>
      </rPr>
      <t>≤</t>
    </r>
    <r>
      <rPr>
        <sz val="10"/>
        <color rgb="FFFF0000"/>
        <rFont val="Times New Roman"/>
        <charset val="134"/>
      </rPr>
      <t>500</t>
    </r>
  </si>
  <si>
    <r>
      <rPr>
        <sz val="10"/>
        <color rgb="FFFF0000"/>
        <rFont val="宋体"/>
        <charset val="134"/>
      </rPr>
      <t>≤</t>
    </r>
    <r>
      <rPr>
        <sz val="10"/>
        <color rgb="FFFF0000"/>
        <rFont val="Times New Roman"/>
        <charset val="134"/>
      </rPr>
      <t>1000</t>
    </r>
  </si>
  <si>
    <r>
      <rPr>
        <sz val="10"/>
        <color rgb="FFFF0000"/>
        <rFont val="宋体"/>
        <charset val="134"/>
      </rPr>
      <t>≤</t>
    </r>
    <r>
      <rPr>
        <sz val="10"/>
        <color rgb="FFFF0000"/>
        <rFont val="Times New Roman"/>
        <charset val="134"/>
      </rPr>
      <t>2000</t>
    </r>
  </si>
  <si>
    <t>&gt;2000</t>
  </si>
  <si>
    <t>佛山</t>
  </si>
  <si>
    <t>珠江三角洲佛山南海分散式开发利用区</t>
  </si>
  <si>
    <t>孔隙水</t>
  </si>
  <si>
    <t>H074406001Q01</t>
  </si>
  <si>
    <r>
      <rPr>
        <sz val="11"/>
        <color theme="1"/>
        <rFont val="等线"/>
        <charset val="134"/>
      </rPr>
      <t>根据《广东省地下水功能区划成果表》可知，项目所在区域属于珠江三角洲佛山南海分散式开发利用区。该区域地貌类型为一般平原区，地下水类型为孔隙水，面积为940.49km</t>
    </r>
    <r>
      <rPr>
        <vertAlign val="superscript"/>
        <sz val="11"/>
        <color theme="1"/>
        <rFont val="等线"/>
        <charset val="134"/>
      </rPr>
      <t>2</t>
    </r>
    <r>
      <rPr>
        <sz val="11"/>
        <color theme="1"/>
        <rFont val="等线"/>
        <charset val="134"/>
      </rPr>
      <t>，矿化度0.4~0.78g/L。地下水水质现状为《地下水质量标准》（GB/T 14848-93）中的Ⅰ-Ⅳ类，地下水功能保护目标为III类，开采水位降深控制在5-8m以内，南部Fe、NH</t>
    </r>
    <r>
      <rPr>
        <vertAlign val="superscript"/>
        <sz val="11"/>
        <color theme="1"/>
        <rFont val="等线"/>
        <charset val="134"/>
      </rPr>
      <t>4+</t>
    </r>
    <r>
      <rPr>
        <sz val="11"/>
        <color theme="1"/>
        <rFont val="等线"/>
        <charset val="134"/>
      </rPr>
      <t>超标。项目所在地区基本是由自来水供应饮用水，水源基本来自江河地表水，因此基本不对地下水开采，没有地下水的集中饮用水源，项目所在区域未出现因地下水开采而引起环境水文地质问题。</t>
    </r>
  </si>
  <si>
    <t>珠江三角洲佛山南海大沥至顺德勒流地质灾害易发区</t>
  </si>
  <si>
    <t>H074406002S01</t>
  </si>
  <si>
    <r>
      <rPr>
        <sz val="11"/>
        <color theme="1"/>
        <rFont val="等线"/>
        <charset val="134"/>
      </rPr>
      <t>根据《关于同意广东省地下水功能区划的复函》（粤办函[2009]459号），项目所在区域属于珠江三角洲佛山南海大沥至顺德勒流地质灾害易发区（保护区），地下水功能区保护目标为《地下水质量标准》（GB/T14848-93）的III类标准，地下水矿化度为0.3～&gt;0.85g/L，水质现状类别为I~V类，维持较高水位，沿海边界地下水位始终不低于邻近咸水区地下水位，局部Fe、NH</t>
    </r>
    <r>
      <rPr>
        <vertAlign val="superscript"/>
        <sz val="11"/>
        <color theme="1"/>
        <rFont val="等线"/>
        <charset val="134"/>
      </rPr>
      <t>4+</t>
    </r>
    <r>
      <rPr>
        <sz val="11"/>
        <color theme="1"/>
        <rFont val="等线"/>
        <charset val="134"/>
      </rPr>
      <t>超标，个别地段承压水为咸水，这与南方地区土壤铁和矿物盐含量较高是有关系的。项目所在地区基本是由自来水供应饮用水，水源基本来自江河地表水，因此基本不对地下水开采，没有地下水的集中饮用水源，项目所在区域未出现因地下水开采而引起环境水文地质问题。</t>
    </r>
  </si>
  <si>
    <t>北江佛山三水地下水水源涵养区</t>
  </si>
  <si>
    <t>裂隙水</t>
  </si>
  <si>
    <t>H054406002T01</t>
  </si>
  <si>
    <t>珠江三角洲佛山南海地下水水源涵养区</t>
  </si>
  <si>
    <t>H074406002T01</t>
  </si>
  <si>
    <t>珠江三角洲佛山三水地下水水源涵养区</t>
  </si>
  <si>
    <t>H074406002T02</t>
  </si>
  <si>
    <t>珠江三角洲佛山高明地下水水源涵养区</t>
  </si>
  <si>
    <t>H074406002T03</t>
  </si>
  <si>
    <t>珠江三角洲佛山顺德不宜开采区</t>
  </si>
  <si>
    <t>H074406003U01</t>
  </si>
  <si>
    <r>
      <rPr>
        <sz val="11"/>
        <color theme="1"/>
        <rFont val="等线"/>
        <charset val="134"/>
      </rPr>
      <t>根据《广东省地下水功能区划成果表》可知，项目所在区域属珠江三角洲佛山顺德不宜开发区，该区域地貌类型为一般平原区，地下水类型为孔隙水，面积为411.52km</t>
    </r>
    <r>
      <rPr>
        <vertAlign val="superscript"/>
        <sz val="11"/>
        <color theme="1"/>
        <rFont val="等线"/>
        <charset val="134"/>
      </rPr>
      <t>2</t>
    </r>
    <r>
      <rPr>
        <sz val="11"/>
        <color theme="1"/>
        <rFont val="等线"/>
        <charset val="134"/>
      </rPr>
      <t>，矿化度1-＞10g/L。地下水水质现状为《地下水质量标准》（GB/T14848-93）中的Ⅴ类，地下水功能保护目标为：Ⅴ类，开采水位维持现状，目前Fe、NH</t>
    </r>
    <r>
      <rPr>
        <vertAlign val="superscript"/>
        <sz val="11"/>
        <color theme="1"/>
        <rFont val="等线"/>
        <charset val="134"/>
      </rPr>
      <t>4+</t>
    </r>
    <r>
      <rPr>
        <sz val="11"/>
        <color theme="1"/>
        <rFont val="等线"/>
        <charset val="134"/>
      </rPr>
      <t>、矿化度超标。</t>
    </r>
  </si>
  <si>
    <t>珠江三角洲佛山高明不宜开采区</t>
  </si>
  <si>
    <t>H074406003U02</t>
  </si>
  <si>
    <t>珠江三角洲佛山三水储备区</t>
  </si>
  <si>
    <t>孔隙水岩溶水</t>
  </si>
  <si>
    <t>H074406003V01</t>
  </si>
  <si>
    <t>北江佛山三水应急水源区</t>
  </si>
  <si>
    <t>H054406003W01</t>
  </si>
  <si>
    <t>H074406003W01</t>
  </si>
  <si>
    <t>《声环境质量标准》</t>
  </si>
  <si>
    <t>0类</t>
  </si>
  <si>
    <t>1类</t>
  </si>
  <si>
    <t>3类</t>
  </si>
  <si>
    <t>4a类</t>
  </si>
  <si>
    <t>4b类</t>
  </si>
  <si>
    <t>单位dB(A)</t>
  </si>
  <si>
    <t>昼间</t>
  </si>
  <si>
    <t>夜间</t>
  </si>
  <si>
    <t>项目所在地乐从镇地处珠江三角洲腹地，位于顺德西北部，处于佛山市中心城区的南部，离广州市30公里，距香港、澳门仅100多公里，325国道、佛山一环贯穿全境，东平水道和顺德水道夹镇而流，地理位置优越、水陆交通便利。镇域78平方公里，下辖5个居委会，19个村委会。常住人口23万人，其中户籍人口10万人，旅居港澳及世界各地的海外乡亲6万多人，是广东省著名侨乡。O 2014年，乐从镇实现地区生产总值159.91亿，增长7.51%。规模以上工业产值56.77亿元，比增8.54%。全镇社会零售额55.14亿元，比增15.17%；全社会固定资产投资61.01亿元，比增14.01%。O 乐从镇现代商贸和物流业兴旺发达，“中国家具商贸之都”、“中国塑料商贸之都”、“中国钢铁专业市场示范区”、“中国专业市场示范镇”等一顶顶“国字号”桂冠名满天下。乐从家具市场总面积达320万平方米，商户3500多家，市场规模全球最大。乐从钢材市场占地面积220多万平方米，拥有贸易商户近2700多家，年促成钢材贸易总量超过2000万吨，销售网络辐射全国各地，是全国最大的钢铁贸易集散地。乐从塑料市场的商铺经营面积达100万平方米，经销商户550多家，年促成塑料交易量200多万吨，居华南同类市场之冠。除三大市场外，乐从还拥有全球最大的汽车外饰件生产企业，全国最大的啤酒贴纸生产基地，广东最大的烟包及滤咀纸生产基地。</t>
  </si>
  <si>
    <t>伦教产业特色非常鲜明。形成以珠宝首饰、机械装备、文化旅游业为主的产业集群，2014年实现规模以上工业总产值508亿元，其中珠宝首饰业销售额达308亿元，成为继家电、机械后顺德又一支柱产业，拥有周大福、周生生等知名企业。机械装备业以省打造珠江西岸机械装备产业带为契机，建设伦教机械装备工贸基地，其中华南机械城先拔头筹，率先进行改造。旅游文化业亮点纷呈。三洲“678文化街”开门迎客，长鹿农庄成为顺德首个国家5A景区，香云纱产业发展稳步推进。</t>
  </si>
  <si>
    <t>北滘镇位于佛山市顺德区的东北部，地理位置优越，水陆交通便利，区域内有广珠西线、佛山一环，以及兴建中的广珠轻轨、广州新火车站等交通设施连接广州和港澳。全镇总面积92平方公里，辖20个村（社区），户籍人口11万人，常住人口30万人。O北滘作为全国知名的经济强镇，改革开放以来，历经从以农为纲，到工业立镇，再到工商并举，发展成现在的魅力小城，逐步走出了独具特色的发展之路。支柱产业主要包括家电、金属材料以及机械设备制造等，家电制造业优势尤为显著，产业集群程度高、产业链完善，是国际级家电生产基地之一，被评为“中国家电制造业重镇”。美的、碧桂园两家千亿龙头企业，以及精艺、惠而浦、浦项等一大批中外知名企业在北滘扎根成长。2015年全镇本地生产总值475亿元，规模以上工业产值2010亿元，国地税收入95.8亿元，城镇居民年人均可支配收入达51012元、农民人均纯收入16137元。</t>
  </si>
  <si>
    <t>勒流街道面积90.78平方公里，辖下共有22个村居，其中5个社区居民委员会，17个村民委员会，据统计，勒流街道目前户籍人口约11.7万人，流动人口约13.5万人。2015年勒流实现规模以上工业总产值达575.75亿元，同比增长3.19%，其中，固定资产投资额41.22亿元，同比增长17.76%。</t>
  </si>
  <si>
    <t>大良街道现为顺德区政府所在地，顺德的政治、文化、教育、商贸中心，是佛山市打造第二个百万人口中心组团城市的核心。辖区面积80.29平方公里，建成区面积36.11平方公里，下辖南华、升平、中区、金榜、文秀、新桂、顺峰、德和、北区、府又、新松、新滘、云路、近良、大门、红岗、南江、苏岗、五沙、高新区20个社区和逢沙、古鉴2个村，常住人口40.13万人，其中户籍人口22.76万人。O 2015年，大良实现地方生产总值400.97 亿元，规模以上工业企业产值301.48亿元，限额以上贸易住宿餐饮业营业额391.16亿元，全社会固定资产投资83.6亿元，工商税收100.67亿元，其中区级库税收29.20亿元。</t>
  </si>
  <si>
    <t>杏坛镇位于顺德西南部，距顺德区政府所在地大良街道约13公里,距广州市约50公里，香港80海里，澳门108公里。全镇总面积122平方公里，辖下24个村委会，6个居委会。O 改革开放以来，杏坛镇充分发挥自身的优势，打造“科技工业、生态农业、水乡文化”三大产业品牌战略，经济社会发展取得了长足进步。2015年，杏坛全镇实现地方生产总值190.18亿元，同比增长9.19%；全镇实现工业总产值488亿元，同比增长8.66%，规模以上工业产值359.5亿元，同比增长10.36%;实现农业总产值15.1304亿元，同比下降6.7%；财政总收入12.0721亿元，同比增长4.4%。</t>
  </si>
  <si>
    <t>容桂街道地处顺德区南部，靠近广州，毗邻港澳，地理位置优越，水陆交通便利，105国道、广珠西线、太澳高速、广珠城际轨道等重要交通枢纽贯穿而过。辖区面积80平方公里，下辖23个居委会，3个村委会，常住人口46.9万，其中户籍人口20.8万。先后获得“全国文明单位”、“中国品牌名镇”等荣誉称号。 O 容桂街道是珠三角的制造基地、经济重镇，改革开放30多年来，经济发展势头强劲。2015年容桂街道实现规模以上工业总产值1275亿元，地区生产总值397亿元，全社会固定资产投资71亿元，限额以上贸易住宿餐饮业营业额287亿元，工商税收59亿元，金融机构人民币储蓄总额460亿元，实际利用外资2.3亿美元。辖区内有各类企业及个体工商户超2.6万家，超亿元企业107家、超十亿元企业16家、超百亿元企业2家，高新技术企业54家；拥有占地13.5平方公里的顺德高新技术开发区以及顺德科技创新中心、中科院顺德基地、陶文铨院士工作站等创新平台和研究院所；拥有海信科龙、德美化工、万和新电气、华声股份、顺威股份、伊之密、科顺防水等7家上市公司以及盈天医药、鸿特精密、顾地科技等3家控股区外上市公司；基本形成了以智能家电、信息电子、医药保健、化工涂料、机械模具、电子商务等为主的产业体系。</t>
  </si>
  <si>
    <t xml:space="preserve">2015年龙江镇完成工业产值637.9亿元，增长8.1%；商品销售总额126.9亿元，增长10.5%；全社会固定资产投资59.5亿元，增长18.2%；税收实际入库（不含调库收入）17.4亿元，增长2.1%，其中区级库入库6.48亿元，增长2.15%；公共财政预算收入8亿元，基金收入7.87亿元；人民币存款余额219.9亿元，增长1.9%，其中城乡居民储蓄余额180.3亿元，增长4.8%；人民币贷款余额141亿元，增长3.5%；实际利用外资2.8亿美元，增长472.4% </t>
  </si>
  <si>
    <t>均安镇地处佛山市顺德区西南部。总面积79.45平方公里，户籍人口近9万人，外来务工人员9万多人，旅居港澳台的乡亲和海外华侨达4万多人，下辖8个居委会和5个村委会。均安镇一直以良好的生态环境、国际武打巨星李小龙故乡和盛产牛仔服装而闻名，是“中国牛仔服装名镇”、“中国曲艺之乡”、“中国民间文化艺术之乡”、“全国环境优美乡镇”、“广东省生态示范镇”、“广东省旅游度假区”。O 2015年，均安实现地方生产总值135.85亿元，增长9.23%；工农业总产值331.2亿元，增长9.17%；税收入库8.49亿元，增长4.35%；城乡居民银行储蓄存款余额86.43亿元，增长4.4%。</t>
  </si>
  <si>
    <t>陈村，素有“中国花卉第一镇”、“千年花乡”的美誉，自古就是商贾云集之地，历史上曾与广州、佛山、东莞石龙镇合称“广东四大名镇”，是《三字经》作者区适子、清代作家黎简和现代雕塑艺术家梁明诚的故乡。陈村区域面积50.7平方公里，常住人口15.4万人，户籍人口7.9万人，下辖7个村委会和8个居委会。2014年实现本地生产总值140.1亿元；工业总产值346.5亿元；全社会固定资产投资50.3亿元；公共财政收入6.7亿元；税收收入20.6亿元；全镇居民储蓄余额139.4亿元。近年来，获得“世界盆景赏石园艺博览之都”、“中国花木之乡”、“中国机械装备工贸名镇”、“中国花卉之都”、“中华花卉美食名镇”、“国家级生态乡镇”等荣耀称号。随着珠三角一体化、广佛同城化步伐的不断加快，陈村正朝着打造生态优美、群众满意的广佛都市圈城央花园的目标稳步迈进。</t>
  </si>
  <si>
    <r>
      <rPr>
        <sz val="11"/>
        <color rgb="FF000000"/>
        <rFont val="宋体"/>
        <charset val="134"/>
      </rPr>
      <t>北滘镇大气污染物除SO</t>
    </r>
    <r>
      <rPr>
        <vertAlign val="subscript"/>
        <sz val="11"/>
        <color rgb="FF000000"/>
        <rFont val="宋体"/>
        <charset val="134"/>
      </rPr>
      <t>2</t>
    </r>
    <r>
      <rPr>
        <sz val="11"/>
        <color rgb="FF000000"/>
        <rFont val="宋体"/>
        <charset val="134"/>
      </rPr>
      <t>的24小时平均值和年均值达到《环境空气质量标准》（GB3095-2012）的二级标准外，其它污染物NO</t>
    </r>
    <r>
      <rPr>
        <vertAlign val="subscript"/>
        <sz val="11"/>
        <color rgb="FF000000"/>
        <rFont val="宋体"/>
        <charset val="134"/>
      </rPr>
      <t>2</t>
    </r>
    <r>
      <rPr>
        <sz val="11"/>
        <color rgb="FF000000"/>
        <rFont val="宋体"/>
        <charset val="134"/>
      </rPr>
      <t>、PM</t>
    </r>
    <r>
      <rPr>
        <vertAlign val="subscript"/>
        <sz val="11"/>
        <color rgb="FF000000"/>
        <rFont val="宋体"/>
        <charset val="134"/>
      </rPr>
      <t>10</t>
    </r>
    <r>
      <rPr>
        <sz val="11"/>
        <color rgb="FF000000"/>
        <rFont val="宋体"/>
        <charset val="134"/>
      </rPr>
      <t>、PM</t>
    </r>
    <r>
      <rPr>
        <vertAlign val="subscript"/>
        <sz val="11"/>
        <color rgb="FF000000"/>
        <rFont val="宋体"/>
        <charset val="134"/>
      </rPr>
      <t>2.5</t>
    </r>
    <r>
      <rPr>
        <sz val="11"/>
        <color rgb="FF000000"/>
        <rFont val="宋体"/>
        <charset val="134"/>
      </rPr>
      <t>的24小时平均值和年平均值都有不同程度的超标。污染较重的为PM</t>
    </r>
    <r>
      <rPr>
        <vertAlign val="subscript"/>
        <sz val="11"/>
        <color rgb="FF000000"/>
        <rFont val="宋体"/>
        <charset val="134"/>
      </rPr>
      <t>2.5</t>
    </r>
    <r>
      <rPr>
        <sz val="11"/>
        <color rgb="FF000000"/>
        <rFont val="宋体"/>
        <charset val="134"/>
      </rPr>
      <t>，24小时平均值浓度达标率为85%，年平均值超标0.26倍。</t>
    </r>
  </si>
  <si>
    <r>
      <rPr>
        <sz val="11"/>
        <color rgb="FF000000"/>
        <rFont val="宋体"/>
        <charset val="134"/>
      </rPr>
      <t>大良街道大气污染物SO</t>
    </r>
    <r>
      <rPr>
        <vertAlign val="subscript"/>
        <sz val="11"/>
        <color rgb="FF000000"/>
        <rFont val="宋体"/>
        <charset val="134"/>
      </rPr>
      <t>2</t>
    </r>
    <r>
      <rPr>
        <sz val="11"/>
        <color rgb="FF000000"/>
        <rFont val="宋体"/>
        <charset val="134"/>
      </rPr>
      <t>的24小时平均值、SO</t>
    </r>
    <r>
      <rPr>
        <vertAlign val="subscript"/>
        <sz val="11"/>
        <color rgb="FF000000"/>
        <rFont val="宋体"/>
        <charset val="134"/>
      </rPr>
      <t>2</t>
    </r>
    <r>
      <rPr>
        <sz val="11"/>
        <color rgb="FF000000"/>
        <rFont val="宋体"/>
        <charset val="134"/>
      </rPr>
      <t>、PM</t>
    </r>
    <r>
      <rPr>
        <vertAlign val="subscript"/>
        <sz val="11"/>
        <color rgb="FF000000"/>
        <rFont val="宋体"/>
        <charset val="134"/>
      </rPr>
      <t>10</t>
    </r>
    <r>
      <rPr>
        <sz val="11"/>
        <color rgb="FF000000"/>
        <rFont val="宋体"/>
        <charset val="134"/>
      </rPr>
      <t>年平均值达到《环境空气质量标准》（GB3095-2012）的二级标准，NO</t>
    </r>
    <r>
      <rPr>
        <vertAlign val="subscript"/>
        <sz val="11"/>
        <color rgb="FF000000"/>
        <rFont val="宋体"/>
        <charset val="134"/>
      </rPr>
      <t>2</t>
    </r>
    <r>
      <rPr>
        <sz val="11"/>
        <color rgb="FF000000"/>
        <rFont val="宋体"/>
        <charset val="134"/>
      </rPr>
      <t>、PM</t>
    </r>
    <r>
      <rPr>
        <vertAlign val="subscript"/>
        <sz val="11"/>
        <color rgb="FF000000"/>
        <rFont val="宋体"/>
        <charset val="134"/>
      </rPr>
      <t>10</t>
    </r>
    <r>
      <rPr>
        <sz val="11"/>
        <color rgb="FF000000"/>
        <rFont val="宋体"/>
        <charset val="134"/>
      </rPr>
      <t>、PM</t>
    </r>
    <r>
      <rPr>
        <vertAlign val="subscript"/>
        <sz val="11"/>
        <color rgb="FF000000"/>
        <rFont val="宋体"/>
        <charset val="134"/>
      </rPr>
      <t>2.5</t>
    </r>
    <r>
      <rPr>
        <sz val="11"/>
        <color rgb="FF000000"/>
        <rFont val="宋体"/>
        <charset val="134"/>
      </rPr>
      <t>的24小时平均值和NO</t>
    </r>
    <r>
      <rPr>
        <vertAlign val="subscript"/>
        <sz val="11"/>
        <color rgb="FF000000"/>
        <rFont val="宋体"/>
        <charset val="134"/>
      </rPr>
      <t>2</t>
    </r>
    <r>
      <rPr>
        <sz val="11"/>
        <color rgb="FF000000"/>
        <rFont val="宋体"/>
        <charset val="134"/>
      </rPr>
      <t>、PM</t>
    </r>
    <r>
      <rPr>
        <vertAlign val="subscript"/>
        <sz val="11"/>
        <color rgb="FF000000"/>
        <rFont val="宋体"/>
        <charset val="134"/>
      </rPr>
      <t>2.5</t>
    </r>
    <r>
      <rPr>
        <sz val="11"/>
        <color rgb="FF000000"/>
        <rFont val="宋体"/>
        <charset val="134"/>
      </rPr>
      <t>的年平均值有不同程度的超标。污染稍重的NO</t>
    </r>
    <r>
      <rPr>
        <vertAlign val="subscript"/>
        <sz val="11"/>
        <color rgb="FF000000"/>
        <rFont val="宋体"/>
        <charset val="134"/>
      </rPr>
      <t>2</t>
    </r>
    <r>
      <rPr>
        <sz val="11"/>
        <color rgb="FF000000"/>
        <rFont val="宋体"/>
        <charset val="134"/>
      </rPr>
      <t>，24小时平均浓度达标率90.7%，年平均值超标0.18倍。</t>
    </r>
  </si>
  <si>
    <r>
      <rPr>
        <sz val="11"/>
        <color rgb="FF000000"/>
        <rFont val="宋体"/>
        <charset val="134"/>
      </rPr>
      <t>均安镇大气污染物SO</t>
    </r>
    <r>
      <rPr>
        <vertAlign val="subscript"/>
        <sz val="11"/>
        <color rgb="FF000000"/>
        <rFont val="宋体"/>
        <charset val="134"/>
      </rPr>
      <t>2</t>
    </r>
    <r>
      <rPr>
        <sz val="11"/>
        <color rgb="FF000000"/>
        <rFont val="宋体"/>
        <charset val="134"/>
      </rPr>
      <t>的24小时平均值、SO</t>
    </r>
    <r>
      <rPr>
        <vertAlign val="subscript"/>
        <sz val="11"/>
        <color rgb="FF000000"/>
        <rFont val="宋体"/>
        <charset val="134"/>
      </rPr>
      <t>2</t>
    </r>
    <r>
      <rPr>
        <sz val="11"/>
        <color rgb="FF000000"/>
        <rFont val="宋体"/>
        <charset val="134"/>
      </rPr>
      <t>、PM</t>
    </r>
    <r>
      <rPr>
        <vertAlign val="subscript"/>
        <sz val="11"/>
        <color rgb="FF000000"/>
        <rFont val="宋体"/>
        <charset val="134"/>
      </rPr>
      <t>10</t>
    </r>
    <r>
      <rPr>
        <sz val="11"/>
        <color rgb="FF000000"/>
        <rFont val="宋体"/>
        <charset val="134"/>
      </rPr>
      <t>年平均值达到《环境空气质量标准》（GB3095-2012）的二级标准，NO</t>
    </r>
    <r>
      <rPr>
        <vertAlign val="subscript"/>
        <sz val="11"/>
        <color rgb="FF000000"/>
        <rFont val="宋体"/>
        <charset val="134"/>
      </rPr>
      <t>2</t>
    </r>
    <r>
      <rPr>
        <sz val="11"/>
        <color rgb="FF000000"/>
        <rFont val="宋体"/>
        <charset val="134"/>
      </rPr>
      <t>、PM</t>
    </r>
    <r>
      <rPr>
        <vertAlign val="subscript"/>
        <sz val="11"/>
        <color rgb="FF000000"/>
        <rFont val="宋体"/>
        <charset val="134"/>
      </rPr>
      <t>10</t>
    </r>
    <r>
      <rPr>
        <sz val="11"/>
        <color rgb="FF000000"/>
        <rFont val="宋体"/>
        <charset val="134"/>
      </rPr>
      <t>、PM</t>
    </r>
    <r>
      <rPr>
        <vertAlign val="subscript"/>
        <sz val="11"/>
        <color rgb="FF000000"/>
        <rFont val="宋体"/>
        <charset val="134"/>
      </rPr>
      <t>2.5</t>
    </r>
    <r>
      <rPr>
        <sz val="11"/>
        <color rgb="FF000000"/>
        <rFont val="宋体"/>
        <charset val="134"/>
      </rPr>
      <t>的24小时平均值和NO</t>
    </r>
    <r>
      <rPr>
        <vertAlign val="subscript"/>
        <sz val="11"/>
        <color rgb="FF000000"/>
        <rFont val="宋体"/>
        <charset val="134"/>
      </rPr>
      <t>2</t>
    </r>
    <r>
      <rPr>
        <sz val="11"/>
        <color rgb="FF000000"/>
        <rFont val="宋体"/>
        <charset val="134"/>
      </rPr>
      <t>、PM</t>
    </r>
    <r>
      <rPr>
        <vertAlign val="subscript"/>
        <sz val="11"/>
        <color rgb="FF000000"/>
        <rFont val="宋体"/>
        <charset val="134"/>
      </rPr>
      <t>2.5</t>
    </r>
    <r>
      <rPr>
        <sz val="11"/>
        <color rgb="FF000000"/>
        <rFont val="宋体"/>
        <charset val="134"/>
      </rPr>
      <t>的年平均值有不同程度的超标。PM</t>
    </r>
    <r>
      <rPr>
        <vertAlign val="subscript"/>
        <sz val="11"/>
        <color rgb="FF000000"/>
        <rFont val="宋体"/>
        <charset val="134"/>
      </rPr>
      <t>2.5</t>
    </r>
    <r>
      <rPr>
        <sz val="11"/>
        <color rgb="FF000000"/>
        <rFont val="宋体"/>
        <charset val="134"/>
      </rPr>
      <t>24小时平均浓度达标率90.1%，NO</t>
    </r>
    <r>
      <rPr>
        <vertAlign val="subscript"/>
        <sz val="11"/>
        <color rgb="FF000000"/>
        <rFont val="宋体"/>
        <charset val="134"/>
      </rPr>
      <t>2</t>
    </r>
    <r>
      <rPr>
        <sz val="11"/>
        <color rgb="FF000000"/>
        <rFont val="宋体"/>
        <charset val="134"/>
      </rPr>
      <t>年平均值超标0.13倍。</t>
    </r>
  </si>
  <si>
    <r>
      <rPr>
        <sz val="11"/>
        <color rgb="FF000000"/>
        <rFont val="宋体"/>
        <charset val="134"/>
      </rPr>
      <t>乐从镇大气污染物SO</t>
    </r>
    <r>
      <rPr>
        <vertAlign val="subscript"/>
        <sz val="11"/>
        <color rgb="FF000000"/>
        <rFont val="宋体"/>
        <charset val="134"/>
      </rPr>
      <t>2</t>
    </r>
    <r>
      <rPr>
        <sz val="11"/>
        <color rgb="FF000000"/>
        <rFont val="宋体"/>
        <charset val="134"/>
      </rPr>
      <t>的24小时平均值、SO</t>
    </r>
    <r>
      <rPr>
        <vertAlign val="subscript"/>
        <sz val="11"/>
        <color rgb="FF000000"/>
        <rFont val="宋体"/>
        <charset val="134"/>
      </rPr>
      <t>2</t>
    </r>
    <r>
      <rPr>
        <sz val="11"/>
        <color rgb="FF000000"/>
        <rFont val="宋体"/>
        <charset val="134"/>
      </rPr>
      <t>和PM</t>
    </r>
    <r>
      <rPr>
        <vertAlign val="subscript"/>
        <sz val="11"/>
        <color rgb="FF000000"/>
        <rFont val="宋体"/>
        <charset val="134"/>
      </rPr>
      <t>10</t>
    </r>
    <r>
      <rPr>
        <sz val="11"/>
        <color rgb="FF000000"/>
        <rFont val="宋体"/>
        <charset val="134"/>
      </rPr>
      <t>的年平均值达到《环境空气质量标准》（GB3095-2012）的二级标准，NO</t>
    </r>
    <r>
      <rPr>
        <vertAlign val="subscript"/>
        <sz val="11"/>
        <color rgb="FF000000"/>
        <rFont val="宋体"/>
        <charset val="134"/>
      </rPr>
      <t>2</t>
    </r>
    <r>
      <rPr>
        <sz val="11"/>
        <color rgb="FF000000"/>
        <rFont val="宋体"/>
        <charset val="134"/>
      </rPr>
      <t>、PM</t>
    </r>
    <r>
      <rPr>
        <vertAlign val="subscript"/>
        <sz val="11"/>
        <color rgb="FF000000"/>
        <rFont val="宋体"/>
        <charset val="134"/>
      </rPr>
      <t>10</t>
    </r>
    <r>
      <rPr>
        <sz val="11"/>
        <color rgb="FF000000"/>
        <rFont val="宋体"/>
        <charset val="134"/>
      </rPr>
      <t>、PM</t>
    </r>
    <r>
      <rPr>
        <vertAlign val="subscript"/>
        <sz val="11"/>
        <color rgb="FF000000"/>
        <rFont val="宋体"/>
        <charset val="134"/>
      </rPr>
      <t>2.5</t>
    </r>
    <r>
      <rPr>
        <sz val="11"/>
        <color rgb="FF000000"/>
        <rFont val="宋体"/>
        <charset val="134"/>
      </rPr>
      <t>的24小时平均值和NO</t>
    </r>
    <r>
      <rPr>
        <vertAlign val="subscript"/>
        <sz val="11"/>
        <color rgb="FF000000"/>
        <rFont val="宋体"/>
        <charset val="134"/>
      </rPr>
      <t>2</t>
    </r>
    <r>
      <rPr>
        <sz val="11"/>
        <color rgb="FF000000"/>
        <rFont val="宋体"/>
        <charset val="134"/>
      </rPr>
      <t>、PM</t>
    </r>
    <r>
      <rPr>
        <vertAlign val="subscript"/>
        <sz val="11"/>
        <color rgb="FF000000"/>
        <rFont val="宋体"/>
        <charset val="134"/>
      </rPr>
      <t>2.5</t>
    </r>
    <r>
      <rPr>
        <sz val="11"/>
        <color rgb="FF000000"/>
        <rFont val="宋体"/>
        <charset val="134"/>
      </rPr>
      <t>年平均值有不同程度的超标。污染稍重的NO</t>
    </r>
    <r>
      <rPr>
        <vertAlign val="subscript"/>
        <sz val="11"/>
        <color rgb="FF000000"/>
        <rFont val="宋体"/>
        <charset val="134"/>
      </rPr>
      <t>2</t>
    </r>
    <r>
      <rPr>
        <sz val="11"/>
        <color rgb="FF000000"/>
        <rFont val="宋体"/>
        <charset val="134"/>
      </rPr>
      <t>中24小时平均浓度达标率84.7%，年平均值超标0.3倍。</t>
    </r>
  </si>
  <si>
    <r>
      <rPr>
        <sz val="11"/>
        <color rgb="FF000000"/>
        <rFont val="宋体"/>
        <charset val="134"/>
      </rPr>
      <t>勒流街道大气污染物SO</t>
    </r>
    <r>
      <rPr>
        <vertAlign val="subscript"/>
        <sz val="11"/>
        <color rgb="FF000000"/>
        <rFont val="宋体"/>
        <charset val="134"/>
      </rPr>
      <t>2</t>
    </r>
    <r>
      <rPr>
        <sz val="11"/>
        <color rgb="FF000000"/>
        <rFont val="宋体"/>
        <charset val="134"/>
      </rPr>
      <t>的24小时平均值、SO</t>
    </r>
    <r>
      <rPr>
        <vertAlign val="subscript"/>
        <sz val="11"/>
        <color rgb="FF000000"/>
        <rFont val="宋体"/>
        <charset val="134"/>
      </rPr>
      <t>2</t>
    </r>
    <r>
      <rPr>
        <sz val="11"/>
        <color rgb="FF000000"/>
        <rFont val="宋体"/>
        <charset val="134"/>
      </rPr>
      <t>和PM</t>
    </r>
    <r>
      <rPr>
        <vertAlign val="subscript"/>
        <sz val="11"/>
        <color rgb="FF000000"/>
        <rFont val="宋体"/>
        <charset val="134"/>
      </rPr>
      <t>10</t>
    </r>
    <r>
      <rPr>
        <sz val="11"/>
        <color rgb="FF000000"/>
        <rFont val="宋体"/>
        <charset val="134"/>
      </rPr>
      <t>的年平均值达到《环境空气质量标准》（GB3095-2012）的二级标准，NO</t>
    </r>
    <r>
      <rPr>
        <vertAlign val="subscript"/>
        <sz val="11"/>
        <color rgb="FF000000"/>
        <rFont val="宋体"/>
        <charset val="134"/>
      </rPr>
      <t>2</t>
    </r>
    <r>
      <rPr>
        <sz val="11"/>
        <color rgb="FF000000"/>
        <rFont val="宋体"/>
        <charset val="134"/>
      </rPr>
      <t>、PM</t>
    </r>
    <r>
      <rPr>
        <vertAlign val="subscript"/>
        <sz val="11"/>
        <color rgb="FF000000"/>
        <rFont val="宋体"/>
        <charset val="134"/>
      </rPr>
      <t>10</t>
    </r>
    <r>
      <rPr>
        <sz val="11"/>
        <color rgb="FF000000"/>
        <rFont val="宋体"/>
        <charset val="134"/>
      </rPr>
      <t>、PM</t>
    </r>
    <r>
      <rPr>
        <vertAlign val="subscript"/>
        <sz val="11"/>
        <color rgb="FF000000"/>
        <rFont val="宋体"/>
        <charset val="134"/>
      </rPr>
      <t>2.5</t>
    </r>
    <r>
      <rPr>
        <sz val="11"/>
        <color rgb="FF000000"/>
        <rFont val="宋体"/>
        <charset val="134"/>
      </rPr>
      <t>的24小时平均值和NO</t>
    </r>
    <r>
      <rPr>
        <vertAlign val="subscript"/>
        <sz val="11"/>
        <color rgb="FF000000"/>
        <rFont val="宋体"/>
        <charset val="134"/>
      </rPr>
      <t>2</t>
    </r>
    <r>
      <rPr>
        <sz val="11"/>
        <color rgb="FF000000"/>
        <rFont val="宋体"/>
        <charset val="134"/>
      </rPr>
      <t>、PM</t>
    </r>
    <r>
      <rPr>
        <vertAlign val="subscript"/>
        <sz val="11"/>
        <color rgb="FF000000"/>
        <rFont val="宋体"/>
        <charset val="134"/>
      </rPr>
      <t>2.5</t>
    </r>
    <r>
      <rPr>
        <sz val="11"/>
        <color rgb="FF000000"/>
        <rFont val="宋体"/>
        <charset val="134"/>
      </rPr>
      <t>年平均值都有不同程度的超标。污染稍重的PM</t>
    </r>
    <r>
      <rPr>
        <vertAlign val="subscript"/>
        <sz val="11"/>
        <color rgb="FF000000"/>
        <rFont val="宋体"/>
        <charset val="134"/>
      </rPr>
      <t>2.5</t>
    </r>
    <r>
      <rPr>
        <sz val="11"/>
        <color rgb="FF000000"/>
        <rFont val="宋体"/>
        <charset val="134"/>
      </rPr>
      <t>中24小时平均浓度达标率82.9%，年平均值超标0.29倍。</t>
    </r>
  </si>
  <si>
    <r>
      <rPr>
        <sz val="11"/>
        <color rgb="FF000000"/>
        <rFont val="宋体"/>
        <charset val="134"/>
      </rPr>
      <t>龙江镇大气污染物SO</t>
    </r>
    <r>
      <rPr>
        <vertAlign val="subscript"/>
        <sz val="11"/>
        <color rgb="FF000000"/>
        <rFont val="宋体"/>
        <charset val="134"/>
      </rPr>
      <t>2</t>
    </r>
    <r>
      <rPr>
        <sz val="11"/>
        <color rgb="FF000000"/>
        <rFont val="宋体"/>
        <charset val="134"/>
      </rPr>
      <t>的24小时平均值、SO</t>
    </r>
    <r>
      <rPr>
        <vertAlign val="subscript"/>
        <sz val="11"/>
        <color rgb="FF000000"/>
        <rFont val="宋体"/>
        <charset val="134"/>
      </rPr>
      <t>2</t>
    </r>
    <r>
      <rPr>
        <sz val="11"/>
        <color rgb="FF000000"/>
        <rFont val="宋体"/>
        <charset val="134"/>
      </rPr>
      <t>和PM</t>
    </r>
    <r>
      <rPr>
        <vertAlign val="subscript"/>
        <sz val="11"/>
        <color rgb="FF000000"/>
        <rFont val="宋体"/>
        <charset val="134"/>
      </rPr>
      <t>10</t>
    </r>
    <r>
      <rPr>
        <sz val="11"/>
        <color rgb="FF000000"/>
        <rFont val="宋体"/>
        <charset val="134"/>
      </rPr>
      <t>的年平均值达到《环境空气质量标准》（GB3095-2012）的二级标准，NO</t>
    </r>
    <r>
      <rPr>
        <vertAlign val="subscript"/>
        <sz val="11"/>
        <color rgb="FF000000"/>
        <rFont val="宋体"/>
        <charset val="134"/>
      </rPr>
      <t>2</t>
    </r>
    <r>
      <rPr>
        <sz val="11"/>
        <color rgb="FF000000"/>
        <rFont val="宋体"/>
        <charset val="134"/>
      </rPr>
      <t>、PM</t>
    </r>
    <r>
      <rPr>
        <vertAlign val="subscript"/>
        <sz val="11"/>
        <color rgb="FF000000"/>
        <rFont val="宋体"/>
        <charset val="134"/>
      </rPr>
      <t>10</t>
    </r>
    <r>
      <rPr>
        <sz val="11"/>
        <color rgb="FF000000"/>
        <rFont val="宋体"/>
        <charset val="134"/>
      </rPr>
      <t>、PM</t>
    </r>
    <r>
      <rPr>
        <vertAlign val="subscript"/>
        <sz val="11"/>
        <color rgb="FF000000"/>
        <rFont val="宋体"/>
        <charset val="134"/>
      </rPr>
      <t>2.5</t>
    </r>
    <r>
      <rPr>
        <sz val="11"/>
        <color rgb="FF000000"/>
        <rFont val="宋体"/>
        <charset val="134"/>
      </rPr>
      <t>的24小时平均值和NO</t>
    </r>
    <r>
      <rPr>
        <vertAlign val="subscript"/>
        <sz val="11"/>
        <color rgb="FF000000"/>
        <rFont val="宋体"/>
        <charset val="134"/>
      </rPr>
      <t>2</t>
    </r>
    <r>
      <rPr>
        <sz val="11"/>
        <color rgb="FF000000"/>
        <rFont val="宋体"/>
        <charset val="134"/>
      </rPr>
      <t>、PM</t>
    </r>
    <r>
      <rPr>
        <vertAlign val="subscript"/>
        <sz val="11"/>
        <color rgb="FF000000"/>
        <rFont val="宋体"/>
        <charset val="134"/>
      </rPr>
      <t>2.5</t>
    </r>
    <r>
      <rPr>
        <sz val="11"/>
        <color rgb="FF000000"/>
        <rFont val="宋体"/>
        <charset val="134"/>
      </rPr>
      <t>年平均值有不同程度的超标。污染稍重的PM</t>
    </r>
    <r>
      <rPr>
        <vertAlign val="subscript"/>
        <sz val="11"/>
        <color rgb="FF000000"/>
        <rFont val="宋体"/>
        <charset val="134"/>
      </rPr>
      <t>2.5</t>
    </r>
    <r>
      <rPr>
        <sz val="11"/>
        <color rgb="FF000000"/>
        <rFont val="宋体"/>
        <charset val="134"/>
      </rPr>
      <t>中24小时平均浓度达标率84.1%，年平均值超标0.29倍。</t>
    </r>
  </si>
  <si>
    <r>
      <rPr>
        <sz val="11"/>
        <color rgb="FF000000"/>
        <rFont val="宋体"/>
        <charset val="134"/>
      </rPr>
      <t>伦教街道大气污染物SO</t>
    </r>
    <r>
      <rPr>
        <vertAlign val="subscript"/>
        <sz val="11"/>
        <color rgb="FF000000"/>
        <rFont val="宋体"/>
        <charset val="134"/>
      </rPr>
      <t>2</t>
    </r>
    <r>
      <rPr>
        <sz val="11"/>
        <color rgb="FF000000"/>
        <rFont val="宋体"/>
        <charset val="134"/>
      </rPr>
      <t>的24小时平均值、SO</t>
    </r>
    <r>
      <rPr>
        <vertAlign val="subscript"/>
        <sz val="11"/>
        <color rgb="FF000000"/>
        <rFont val="宋体"/>
        <charset val="134"/>
      </rPr>
      <t>2</t>
    </r>
    <r>
      <rPr>
        <sz val="11"/>
        <color rgb="FF000000"/>
        <rFont val="宋体"/>
        <charset val="134"/>
      </rPr>
      <t>、PM</t>
    </r>
    <r>
      <rPr>
        <vertAlign val="subscript"/>
        <sz val="11"/>
        <color rgb="FF000000"/>
        <rFont val="宋体"/>
        <charset val="134"/>
      </rPr>
      <t>10</t>
    </r>
    <r>
      <rPr>
        <sz val="11"/>
        <color rgb="FF000000"/>
        <rFont val="宋体"/>
        <charset val="134"/>
      </rPr>
      <t>和PM</t>
    </r>
    <r>
      <rPr>
        <vertAlign val="subscript"/>
        <sz val="11"/>
        <color rgb="FF000000"/>
        <rFont val="宋体"/>
        <charset val="134"/>
      </rPr>
      <t>2.5</t>
    </r>
    <r>
      <rPr>
        <sz val="11"/>
        <color rgb="FF000000"/>
        <rFont val="宋体"/>
        <charset val="134"/>
      </rPr>
      <t>的年平均值达到《环境空气质量标准》（GB3095-2012）的二级标准，NO</t>
    </r>
    <r>
      <rPr>
        <vertAlign val="subscript"/>
        <sz val="11"/>
        <color rgb="FF000000"/>
        <rFont val="宋体"/>
        <charset val="134"/>
      </rPr>
      <t>2</t>
    </r>
    <r>
      <rPr>
        <sz val="11"/>
        <color rgb="FF000000"/>
        <rFont val="宋体"/>
        <charset val="134"/>
      </rPr>
      <t>、PM</t>
    </r>
    <r>
      <rPr>
        <vertAlign val="subscript"/>
        <sz val="11"/>
        <color rgb="FF000000"/>
        <rFont val="宋体"/>
        <charset val="134"/>
      </rPr>
      <t>10</t>
    </r>
    <r>
      <rPr>
        <sz val="11"/>
        <color rgb="FF000000"/>
        <rFont val="宋体"/>
        <charset val="134"/>
      </rPr>
      <t>、PM</t>
    </r>
    <r>
      <rPr>
        <vertAlign val="subscript"/>
        <sz val="11"/>
        <color rgb="FF000000"/>
        <rFont val="宋体"/>
        <charset val="134"/>
      </rPr>
      <t>2.5</t>
    </r>
    <r>
      <rPr>
        <sz val="11"/>
        <color rgb="FF000000"/>
        <rFont val="宋体"/>
        <charset val="134"/>
      </rPr>
      <t>的24小时平均值和NO</t>
    </r>
    <r>
      <rPr>
        <vertAlign val="subscript"/>
        <sz val="11"/>
        <color rgb="FF000000"/>
        <rFont val="宋体"/>
        <charset val="134"/>
      </rPr>
      <t>2</t>
    </r>
    <r>
      <rPr>
        <sz val="11"/>
        <color rgb="FF000000"/>
        <rFont val="宋体"/>
        <charset val="134"/>
      </rPr>
      <t>年平均值有不同程度的超标。污染稍重的NO</t>
    </r>
    <r>
      <rPr>
        <vertAlign val="subscript"/>
        <sz val="11"/>
        <color rgb="FF000000"/>
        <rFont val="宋体"/>
        <charset val="134"/>
      </rPr>
      <t>2</t>
    </r>
    <r>
      <rPr>
        <sz val="11"/>
        <color rgb="FF000000"/>
        <rFont val="宋体"/>
        <charset val="134"/>
      </rPr>
      <t>中24小时平均浓度达标率88.2%，年平均值超标0.18倍。</t>
    </r>
  </si>
  <si>
    <r>
      <rPr>
        <sz val="11"/>
        <color rgb="FF000000"/>
        <rFont val="宋体"/>
        <charset val="134"/>
      </rPr>
      <t>容桂街道大气污染物24小时平均值除SO</t>
    </r>
    <r>
      <rPr>
        <vertAlign val="subscript"/>
        <sz val="11"/>
        <color rgb="FF000000"/>
        <rFont val="宋体"/>
        <charset val="134"/>
      </rPr>
      <t>2</t>
    </r>
    <r>
      <rPr>
        <sz val="11"/>
        <color rgb="FF000000"/>
        <rFont val="宋体"/>
        <charset val="134"/>
      </rPr>
      <t>达到《环境空气质量标准》（GB3095-2012）的二级标准外，其它污染物NO</t>
    </r>
    <r>
      <rPr>
        <vertAlign val="subscript"/>
        <sz val="11"/>
        <color rgb="FF000000"/>
        <rFont val="宋体"/>
        <charset val="134"/>
      </rPr>
      <t>2</t>
    </r>
    <r>
      <rPr>
        <sz val="11"/>
        <color rgb="FF000000"/>
        <rFont val="宋体"/>
        <charset val="134"/>
      </rPr>
      <t>、PM</t>
    </r>
    <r>
      <rPr>
        <vertAlign val="subscript"/>
        <sz val="11"/>
        <color rgb="FF000000"/>
        <rFont val="宋体"/>
        <charset val="134"/>
      </rPr>
      <t>10</t>
    </r>
    <r>
      <rPr>
        <sz val="11"/>
        <color rgb="FF000000"/>
        <rFont val="宋体"/>
        <charset val="134"/>
      </rPr>
      <t>、PM</t>
    </r>
    <r>
      <rPr>
        <vertAlign val="subscript"/>
        <sz val="11"/>
        <color rgb="FF000000"/>
        <rFont val="宋体"/>
        <charset val="134"/>
      </rPr>
      <t>2.5</t>
    </r>
    <r>
      <rPr>
        <sz val="11"/>
        <color rgb="FF000000"/>
        <rFont val="宋体"/>
        <charset val="134"/>
      </rPr>
      <t>都有不同程度的超标，年平均值除PM</t>
    </r>
    <r>
      <rPr>
        <vertAlign val="subscript"/>
        <sz val="11"/>
        <color rgb="FF000000"/>
        <rFont val="宋体"/>
        <charset val="134"/>
      </rPr>
      <t>2.5</t>
    </r>
    <r>
      <rPr>
        <sz val="11"/>
        <color rgb="FF000000"/>
        <rFont val="宋体"/>
        <charset val="134"/>
      </rPr>
      <t>超标外，其它污染物均达到《环境空气质量标准》（GB3095-2012）的二级标准。污染稍重的PM</t>
    </r>
    <r>
      <rPr>
        <vertAlign val="subscript"/>
        <sz val="11"/>
        <color rgb="FF000000"/>
        <rFont val="宋体"/>
        <charset val="134"/>
      </rPr>
      <t>2.5</t>
    </r>
    <r>
      <rPr>
        <sz val="11"/>
        <color rgb="FF000000"/>
        <rFont val="宋体"/>
        <charset val="134"/>
      </rPr>
      <t>中24小时平均浓度达标率90%，年平均值超标0.19倍。</t>
    </r>
  </si>
  <si>
    <r>
      <rPr>
        <sz val="11"/>
        <color rgb="FF000000"/>
        <rFont val="宋体"/>
        <charset val="134"/>
      </rPr>
      <t>杏坛镇大气污染物SO</t>
    </r>
    <r>
      <rPr>
        <vertAlign val="subscript"/>
        <sz val="11"/>
        <color rgb="FF000000"/>
        <rFont val="宋体"/>
        <charset val="134"/>
      </rPr>
      <t>2</t>
    </r>
    <r>
      <rPr>
        <sz val="11"/>
        <color rgb="FF000000"/>
        <rFont val="宋体"/>
        <charset val="134"/>
      </rPr>
      <t>的24小时平均值、SO</t>
    </r>
    <r>
      <rPr>
        <vertAlign val="subscript"/>
        <sz val="11"/>
        <color rgb="FF000000"/>
        <rFont val="宋体"/>
        <charset val="134"/>
      </rPr>
      <t>2</t>
    </r>
    <r>
      <rPr>
        <sz val="11"/>
        <color rgb="FF000000"/>
        <rFont val="宋体"/>
        <charset val="134"/>
      </rPr>
      <t>、PM</t>
    </r>
    <r>
      <rPr>
        <vertAlign val="subscript"/>
        <sz val="11"/>
        <color rgb="FF000000"/>
        <rFont val="宋体"/>
        <charset val="134"/>
      </rPr>
      <t>10</t>
    </r>
    <r>
      <rPr>
        <sz val="11"/>
        <color rgb="FF000000"/>
        <rFont val="宋体"/>
        <charset val="134"/>
      </rPr>
      <t>年平均值达到《环境空气质量标准》（GB3095-2012）的二级标准， NO</t>
    </r>
    <r>
      <rPr>
        <vertAlign val="subscript"/>
        <sz val="11"/>
        <color rgb="FF000000"/>
        <rFont val="宋体"/>
        <charset val="134"/>
      </rPr>
      <t>2</t>
    </r>
    <r>
      <rPr>
        <sz val="11"/>
        <color rgb="FF000000"/>
        <rFont val="宋体"/>
        <charset val="134"/>
      </rPr>
      <t>、PM</t>
    </r>
    <r>
      <rPr>
        <vertAlign val="subscript"/>
        <sz val="11"/>
        <color rgb="FF000000"/>
        <rFont val="宋体"/>
        <charset val="134"/>
      </rPr>
      <t>10</t>
    </r>
    <r>
      <rPr>
        <sz val="11"/>
        <color rgb="FF000000"/>
        <rFont val="宋体"/>
        <charset val="134"/>
      </rPr>
      <t>、PM</t>
    </r>
    <r>
      <rPr>
        <vertAlign val="subscript"/>
        <sz val="11"/>
        <color rgb="FF000000"/>
        <rFont val="宋体"/>
        <charset val="134"/>
      </rPr>
      <t>2.5</t>
    </r>
    <r>
      <rPr>
        <sz val="11"/>
        <color rgb="FF000000"/>
        <rFont val="宋体"/>
        <charset val="134"/>
      </rPr>
      <t>的24小时平均值和NO</t>
    </r>
    <r>
      <rPr>
        <vertAlign val="subscript"/>
        <sz val="11"/>
        <color rgb="FF000000"/>
        <rFont val="宋体"/>
        <charset val="134"/>
      </rPr>
      <t>2</t>
    </r>
    <r>
      <rPr>
        <sz val="11"/>
        <color rgb="FF000000"/>
        <rFont val="宋体"/>
        <charset val="134"/>
      </rPr>
      <t>、PM</t>
    </r>
    <r>
      <rPr>
        <vertAlign val="subscript"/>
        <sz val="11"/>
        <color rgb="FF000000"/>
        <rFont val="宋体"/>
        <charset val="134"/>
      </rPr>
      <t>2.5</t>
    </r>
    <r>
      <rPr>
        <sz val="11"/>
        <color rgb="FF000000"/>
        <rFont val="宋体"/>
        <charset val="134"/>
      </rPr>
      <t>年平均值有不同程度的超标。污染稍重的PM</t>
    </r>
    <r>
      <rPr>
        <vertAlign val="subscript"/>
        <sz val="11"/>
        <color rgb="FF000000"/>
        <rFont val="宋体"/>
        <charset val="134"/>
      </rPr>
      <t>2.5</t>
    </r>
    <r>
      <rPr>
        <sz val="11"/>
        <color rgb="FF000000"/>
        <rFont val="宋体"/>
        <charset val="134"/>
      </rPr>
      <t>中24小时平均浓度达标率85.9%，年平均值超标0.17倍。</t>
    </r>
  </si>
  <si>
    <r>
      <rPr>
        <sz val="11"/>
        <color theme="1"/>
        <rFont val="宋体"/>
        <charset val="134"/>
      </rPr>
      <t>陈村镇大气污染物SO</t>
    </r>
    <r>
      <rPr>
        <vertAlign val="subscript"/>
        <sz val="11"/>
        <color theme="1"/>
        <rFont val="宋体"/>
        <charset val="134"/>
      </rPr>
      <t>2</t>
    </r>
    <r>
      <rPr>
        <sz val="11"/>
        <color theme="1"/>
        <rFont val="宋体"/>
        <charset val="134"/>
      </rPr>
      <t>的24小时平均值、SO</t>
    </r>
    <r>
      <rPr>
        <vertAlign val="subscript"/>
        <sz val="11"/>
        <color theme="1"/>
        <rFont val="宋体"/>
        <charset val="134"/>
      </rPr>
      <t>2</t>
    </r>
    <r>
      <rPr>
        <sz val="11"/>
        <color theme="1"/>
        <rFont val="宋体"/>
        <charset val="134"/>
      </rPr>
      <t>和PM</t>
    </r>
    <r>
      <rPr>
        <vertAlign val="subscript"/>
        <sz val="11"/>
        <color theme="1"/>
        <rFont val="宋体"/>
        <charset val="134"/>
      </rPr>
      <t>10</t>
    </r>
    <r>
      <rPr>
        <sz val="11"/>
        <color theme="1"/>
        <rFont val="宋体"/>
        <charset val="134"/>
      </rPr>
      <t>的年平均值达到《环境空气质量标准》（GB3095-2012）的二级标准， NO</t>
    </r>
    <r>
      <rPr>
        <vertAlign val="subscript"/>
        <sz val="11"/>
        <color theme="1"/>
        <rFont val="宋体"/>
        <charset val="134"/>
      </rPr>
      <t>2</t>
    </r>
    <r>
      <rPr>
        <sz val="11"/>
        <color theme="1"/>
        <rFont val="宋体"/>
        <charset val="134"/>
      </rPr>
      <t>、PM</t>
    </r>
    <r>
      <rPr>
        <vertAlign val="subscript"/>
        <sz val="11"/>
        <color theme="1"/>
        <rFont val="宋体"/>
        <charset val="134"/>
      </rPr>
      <t>10</t>
    </r>
    <r>
      <rPr>
        <sz val="11"/>
        <color theme="1"/>
        <rFont val="宋体"/>
        <charset val="134"/>
      </rPr>
      <t>、PM</t>
    </r>
    <r>
      <rPr>
        <vertAlign val="subscript"/>
        <sz val="11"/>
        <color theme="1"/>
        <rFont val="宋体"/>
        <charset val="134"/>
      </rPr>
      <t>2.5</t>
    </r>
    <r>
      <rPr>
        <sz val="11"/>
        <color theme="1"/>
        <rFont val="宋体"/>
        <charset val="134"/>
      </rPr>
      <t>的24小时平均值和NO</t>
    </r>
    <r>
      <rPr>
        <vertAlign val="subscript"/>
        <sz val="11"/>
        <color theme="1"/>
        <rFont val="宋体"/>
        <charset val="134"/>
      </rPr>
      <t>2</t>
    </r>
    <r>
      <rPr>
        <sz val="11"/>
        <color theme="1"/>
        <rFont val="宋体"/>
        <charset val="134"/>
      </rPr>
      <t>、PM</t>
    </r>
    <r>
      <rPr>
        <vertAlign val="subscript"/>
        <sz val="11"/>
        <color theme="1"/>
        <rFont val="宋体"/>
        <charset val="134"/>
      </rPr>
      <t>2.5</t>
    </r>
    <r>
      <rPr>
        <sz val="11"/>
        <color theme="1"/>
        <rFont val="宋体"/>
        <charset val="134"/>
      </rPr>
      <t>年平均值有不同程度的超标。污染稍重的NO</t>
    </r>
    <r>
      <rPr>
        <vertAlign val="subscript"/>
        <sz val="11"/>
        <color theme="1"/>
        <rFont val="宋体"/>
        <charset val="134"/>
      </rPr>
      <t>2</t>
    </r>
    <r>
      <rPr>
        <sz val="11"/>
        <color theme="1"/>
        <rFont val="宋体"/>
        <charset val="134"/>
      </rPr>
      <t>中24小时平均浓度达标率86.6%，年平均值超标0.23倍。</t>
    </r>
  </si>
  <si>
    <t>农副食品加工业</t>
  </si>
  <si>
    <t>食品制造业</t>
  </si>
  <si>
    <t>酒、饮料及精制茶制造业</t>
  </si>
  <si>
    <t>烟草制造业</t>
  </si>
  <si>
    <t>纺织业</t>
  </si>
  <si>
    <t>纺织服装、服饰业</t>
  </si>
  <si>
    <t>皮革、毛皮、羽毛及其制品和制鞋业</t>
  </si>
  <si>
    <t>木材加工和木、竹、藤、棕、草制品业</t>
  </si>
  <si>
    <t>家具制造业</t>
  </si>
  <si>
    <t>造纸和纸制品业</t>
  </si>
  <si>
    <t>印刷和记录媒介复制业</t>
  </si>
  <si>
    <t>文教、工美、体育和娱乐用品制造业</t>
  </si>
  <si>
    <t>石油加工、炼焦和核燃料加工业</t>
  </si>
  <si>
    <t xml:space="preserve">化学原料和化学制品制造业 </t>
  </si>
  <si>
    <t>医药制造业</t>
  </si>
  <si>
    <t xml:space="preserve">化学纤维制造业 </t>
  </si>
  <si>
    <t>橡胶和塑料制品业</t>
  </si>
  <si>
    <t>非金属矿物制品业</t>
  </si>
  <si>
    <t>黑色金属冶炼和压延加工业</t>
  </si>
  <si>
    <t>有色金属冶炼和压延加工业</t>
  </si>
  <si>
    <t>金属制品业</t>
  </si>
  <si>
    <t>通用设备制造业</t>
  </si>
  <si>
    <t xml:space="preserve">专用设备制造业 </t>
  </si>
  <si>
    <t>汽车制造业</t>
  </si>
  <si>
    <t>铁路、船舶、航空航天和其他运输设备制
造业</t>
  </si>
  <si>
    <t>电气机械和器材制造业</t>
  </si>
  <si>
    <t>计算机、通信和其他电子设备制造业</t>
  </si>
  <si>
    <t>仪器仪表制造业</t>
  </si>
  <si>
    <t>其他制造业</t>
  </si>
  <si>
    <t>废弃资源综合利用业</t>
  </si>
  <si>
    <t>金属制品、机械和设备修理业</t>
  </si>
  <si>
    <t>电力、热力生产和供应业</t>
  </si>
  <si>
    <t xml:space="preserve">燃气生产和供应业 </t>
  </si>
  <si>
    <t xml:space="preserve">水的生产和供应业 </t>
  </si>
  <si>
    <t>餐饮业</t>
  </si>
  <si>
    <t>房地产业</t>
  </si>
  <si>
    <t>机动车、电子产品和日用产品修理业</t>
  </si>
  <si>
    <t>卫生</t>
  </si>
  <si>
    <t>娱乐业</t>
  </si>
  <si>
    <t>131 谷物磨制</t>
  </si>
  <si>
    <t>141 焙烤食品制造</t>
  </si>
  <si>
    <t>151 酒的制造</t>
  </si>
  <si>
    <t>1610 烟叶复烤</t>
  </si>
  <si>
    <t>171 棉纺织及印染精加工</t>
  </si>
  <si>
    <t>181 机织服装制造</t>
  </si>
  <si>
    <t>1910 皮革鞣制加工</t>
  </si>
  <si>
    <t>201 木材加工</t>
  </si>
  <si>
    <t>2110 木质家具制造</t>
  </si>
  <si>
    <t>221 纸浆制造</t>
  </si>
  <si>
    <t>231 印刷</t>
  </si>
  <si>
    <t>241 文教办公用品制造</t>
  </si>
  <si>
    <t>251 精炼石油产品制造</t>
  </si>
  <si>
    <t>261 基础化学原料制造</t>
  </si>
  <si>
    <t xml:space="preserve">2710 化学药品原料药制造 </t>
  </si>
  <si>
    <t>281 纤维素纤维原料及纤维制造</t>
  </si>
  <si>
    <t>291 橡胶制品业</t>
  </si>
  <si>
    <t>301 水泥、石灰和石膏制造</t>
  </si>
  <si>
    <t>3110 炼铁</t>
  </si>
  <si>
    <t>321 常用有色金属冶炼</t>
  </si>
  <si>
    <t>331 结构性金属制品制造</t>
  </si>
  <si>
    <t>341 锅炉及原动设备制造</t>
  </si>
  <si>
    <t>351 采矿、冶金、建筑专用设备制造</t>
  </si>
  <si>
    <t>361 汽车整车制造</t>
  </si>
  <si>
    <t>371 铁路运输设备制造</t>
  </si>
  <si>
    <t>381 电机制造</t>
  </si>
  <si>
    <t>391 计算机制造</t>
  </si>
  <si>
    <t>401 通用仪器仪表制造</t>
  </si>
  <si>
    <t>411 日用杂品制造</t>
  </si>
  <si>
    <t xml:space="preserve">4210 金属废料和碎屑加工处理 </t>
  </si>
  <si>
    <t xml:space="preserve">4310 金属制品修理 </t>
  </si>
  <si>
    <t>441 电力生产</t>
  </si>
  <si>
    <t>451 燃气生产和供应业</t>
  </si>
  <si>
    <t>4610 自来水生产和供应</t>
  </si>
  <si>
    <t>591 装卸搬运</t>
  </si>
  <si>
    <t>6210 正餐服务</t>
  </si>
  <si>
    <t>7010 房地产开发经营</t>
  </si>
  <si>
    <t>811 汽车、摩托车等修理与维护</t>
  </si>
  <si>
    <t>841 医院</t>
  </si>
  <si>
    <t>901 室内娱乐活动</t>
  </si>
  <si>
    <t>132 饲料加工</t>
  </si>
  <si>
    <t>142 糖果、巧克力及蜜饯制造</t>
  </si>
  <si>
    <t>152 饮料制造</t>
  </si>
  <si>
    <t>1620 卷烟制造</t>
  </si>
  <si>
    <t>172 毛纺织及染整精加工</t>
  </si>
  <si>
    <t>182 针织或钩针编织服装制造</t>
  </si>
  <si>
    <t>192 皮革制品制造</t>
  </si>
  <si>
    <t>202 人造板制造</t>
  </si>
  <si>
    <t>2120 竹、藤家具制造</t>
  </si>
  <si>
    <t>222 造纸</t>
  </si>
  <si>
    <t>2320 装订及印刷相关服务</t>
  </si>
  <si>
    <t>242 乐器制造</t>
  </si>
  <si>
    <t>252 煤炭加工</t>
  </si>
  <si>
    <t>262 肥料制造</t>
  </si>
  <si>
    <t>2720 化学药品制剂制造</t>
  </si>
  <si>
    <t>282 合成纤维制造</t>
  </si>
  <si>
    <t xml:space="preserve">292 塑料制品业 </t>
  </si>
  <si>
    <t>302 石膏、水泥制品及类似制品制造</t>
  </si>
  <si>
    <t>3120 炼钢</t>
  </si>
  <si>
    <t>322 贵金属冶炼</t>
  </si>
  <si>
    <t>332 金属工具制造</t>
  </si>
  <si>
    <t>342 金属加工机械制造</t>
  </si>
  <si>
    <t>352 化工、木材、非金属加工专用设备制造</t>
  </si>
  <si>
    <t>3620 汽车用发动机制造</t>
  </si>
  <si>
    <t>3720 城市轨道交通设备制造</t>
  </si>
  <si>
    <t xml:space="preserve">382 输配电及控制设备制造 </t>
  </si>
  <si>
    <t>392 通信设备制造</t>
  </si>
  <si>
    <t>402 专用仪器仪表制造</t>
  </si>
  <si>
    <t>4120 核辐射加工</t>
  </si>
  <si>
    <t>4220 非金属废料和碎屑加工处理</t>
  </si>
  <si>
    <t>4320 通用设备修理</t>
  </si>
  <si>
    <t>4420 电力供应</t>
  </si>
  <si>
    <t>4520 生物质燃气生产和供应业</t>
  </si>
  <si>
    <t>4620 污水处理及其再生利用</t>
  </si>
  <si>
    <t>6220 快餐服务</t>
  </si>
  <si>
    <t xml:space="preserve">7020 物业管理 </t>
  </si>
  <si>
    <t xml:space="preserve">812 计算机及办公设备维修 </t>
  </si>
  <si>
    <t>842 基层医疗卫生服务</t>
  </si>
  <si>
    <t>9020 游乐园</t>
  </si>
  <si>
    <t>133 植物油加工</t>
  </si>
  <si>
    <t>143 方便食品制造</t>
  </si>
  <si>
    <t>1690 其他烟草制品制造</t>
  </si>
  <si>
    <t>173 麻纺织及染整精加工</t>
  </si>
  <si>
    <t>1830 服饰制造</t>
  </si>
  <si>
    <t>193 毛皮鞣制及制品加工</t>
  </si>
  <si>
    <t>203 木制品制造</t>
  </si>
  <si>
    <t>2130 金属家具制造</t>
  </si>
  <si>
    <t>223 纸制品制造</t>
  </si>
  <si>
    <t>2330 记录媒介复制</t>
  </si>
  <si>
    <t>243 工艺美术及礼仪用品制造</t>
  </si>
  <si>
    <t>2530 核燃料加工</t>
  </si>
  <si>
    <t>263 农药制造</t>
  </si>
  <si>
    <t>2730 中药饮片加工</t>
  </si>
  <si>
    <r>
      <rPr>
        <sz val="11"/>
        <color theme="1"/>
        <rFont val="等线"/>
        <charset val="134"/>
      </rPr>
      <t xml:space="preserve">283 </t>
    </r>
    <r>
      <rPr>
        <sz val="11"/>
        <color theme="1"/>
        <rFont val="等线"/>
        <charset val="134"/>
      </rPr>
      <t>生物基材料制造</t>
    </r>
  </si>
  <si>
    <t>2921 塑料薄膜制造</t>
  </si>
  <si>
    <t>303 砖瓦、石材等建筑材料制造</t>
  </si>
  <si>
    <t>3130 钢压延加工</t>
  </si>
  <si>
    <t>323 稀有稀土金属冶炼</t>
  </si>
  <si>
    <t>333 集装箱及金属包装容器制造</t>
  </si>
  <si>
    <t>343 物料搬运设备制造</t>
  </si>
  <si>
    <t>353 食品、饮料、烟草及饲料生产专用设备
制造</t>
  </si>
  <si>
    <t>3630 改装汽车制造</t>
  </si>
  <si>
    <t>373 船舶及相关装置制造</t>
  </si>
  <si>
    <t>383 电线、电缆、光缆及电工器材制造</t>
  </si>
  <si>
    <t>393 广播电视设备制造</t>
  </si>
  <si>
    <t>4030 钟表与计时仪器制造</t>
  </si>
  <si>
    <t>4190 其他未列明制造业</t>
  </si>
  <si>
    <t>4330 专用设备修理</t>
  </si>
  <si>
    <t>4430 热力生产和供应</t>
  </si>
  <si>
    <t>4630 海水淡化处理</t>
  </si>
  <si>
    <t>5930 低温仓储</t>
  </si>
  <si>
    <t xml:space="preserve">623 饮料及冷饮服务 </t>
  </si>
  <si>
    <t xml:space="preserve">7030 房地产中介服务  </t>
  </si>
  <si>
    <t>813 家用电器修理</t>
  </si>
  <si>
    <t>843 专业公共卫生服务</t>
  </si>
  <si>
    <t>9030 休闲观光活动</t>
  </si>
  <si>
    <t>134 制糖业</t>
  </si>
  <si>
    <t>144 乳制品制造</t>
  </si>
  <si>
    <t>174 丝绢纺织及印染精加工</t>
  </si>
  <si>
    <t>194 羽毛（绒）加工及制品制造</t>
  </si>
  <si>
    <t>204 竹、藤、棕、草制品制造</t>
  </si>
  <si>
    <t>2140 塑料家具制造</t>
  </si>
  <si>
    <t>244 体育用品制造</t>
  </si>
  <si>
    <t>254 生物质燃料加工</t>
  </si>
  <si>
    <t>264 涂料、油墨、颜料及类似产品制造</t>
  </si>
  <si>
    <t>2740 中成药生产</t>
  </si>
  <si>
    <t>2922 塑料板、管、型材制造</t>
  </si>
  <si>
    <t>304 玻璃制造</t>
  </si>
  <si>
    <t>3140 铁合金冶炼</t>
  </si>
  <si>
    <t>3240 有色金属合金制造</t>
  </si>
  <si>
    <t>3340 金属丝绳及其制品制造</t>
  </si>
  <si>
    <t>344 泵、阀门、压缩机及类似机械制造</t>
  </si>
  <si>
    <t>354 印刷、制药、日化及日用品生产专用设
备制造</t>
  </si>
  <si>
    <t>3640 低速载货汽车制造</t>
  </si>
  <si>
    <t xml:space="preserve">374 航空、航天器及设备制造 </t>
  </si>
  <si>
    <t xml:space="preserve">384 电池制造 </t>
  </si>
  <si>
    <t>3940 雷达及配套设备制造</t>
  </si>
  <si>
    <t>4040 光学仪器制造</t>
  </si>
  <si>
    <t>434 铁路、船舶、航空航天等运输设备修理</t>
  </si>
  <si>
    <t>4690 其他水的处理、利用与分配</t>
  </si>
  <si>
    <t xml:space="preserve">594 危险品仓储 </t>
  </si>
  <si>
    <t>624 餐饮配送及外卖送餐服务</t>
  </si>
  <si>
    <t>7040 房地产租赁经营</t>
  </si>
  <si>
    <t>819 其他日用产品修理业</t>
  </si>
  <si>
    <t>849 其他卫生活动</t>
  </si>
  <si>
    <t>904 彩票活动</t>
  </si>
  <si>
    <t>135 屠宰及肉类加工</t>
  </si>
  <si>
    <t>145 罐头食品制造</t>
  </si>
  <si>
    <t>175 化纤织造及印染精加工</t>
  </si>
  <si>
    <t>195 制鞋业</t>
  </si>
  <si>
    <t>2190 其他家具制造</t>
  </si>
  <si>
    <t>245 玩具制造</t>
  </si>
  <si>
    <t>265 合成材料制造</t>
  </si>
  <si>
    <t>2750 兽用药品制造</t>
  </si>
  <si>
    <t>2923 塑料丝、绳及编织品制造</t>
  </si>
  <si>
    <t>305 玻璃制品制造</t>
  </si>
  <si>
    <t>325 有色金属压延加工</t>
  </si>
  <si>
    <t>335 建筑、安全用金属制品制造</t>
  </si>
  <si>
    <t>345 轴承、齿轮和传动部件制造</t>
  </si>
  <si>
    <t>355 纺织、服装和皮革加工专用设备制造</t>
  </si>
  <si>
    <t>3650 电车制造</t>
  </si>
  <si>
    <t>375 摩托车制造</t>
  </si>
  <si>
    <t>385 其他电池制造</t>
  </si>
  <si>
    <t>395 视听设备制造</t>
  </si>
  <si>
    <t>4050 衡器制造</t>
  </si>
  <si>
    <t>4350 电气设备修理</t>
  </si>
  <si>
    <t>595 谷物、棉花等农产品仓储</t>
  </si>
  <si>
    <t xml:space="preserve">629 其他餐饮业 </t>
  </si>
  <si>
    <t>7090 其他房地产业</t>
  </si>
  <si>
    <t>905 文化娱乐体育活动和经纪代理服务</t>
  </si>
  <si>
    <t>136 水产品加工</t>
  </si>
  <si>
    <t>146 调味品、发酵制品制造</t>
  </si>
  <si>
    <t>176 针织或钩针编织物及其制品制造</t>
  </si>
  <si>
    <t>246 游艺器材及娱乐用品制造</t>
  </si>
  <si>
    <t>266 专用化学产品制造</t>
  </si>
  <si>
    <t>276 生物药品制品制造</t>
  </si>
  <si>
    <t>2924 泡沫塑料制造</t>
  </si>
  <si>
    <t>306 玻璃纤维和玻璃纤维增强塑料制品制
造</t>
  </si>
  <si>
    <t xml:space="preserve">3360 金属表面处理及热处理加工 </t>
  </si>
  <si>
    <t>346 烘炉、风机、包装等设备制造</t>
  </si>
  <si>
    <t xml:space="preserve">356 电子和电工机械专用设备制造 </t>
  </si>
  <si>
    <t xml:space="preserve">3660 汽车车身、挂车制造 </t>
  </si>
  <si>
    <t>376 自行车和残疾人座车制造</t>
  </si>
  <si>
    <t>386 非电力家用器具制造</t>
  </si>
  <si>
    <t>396 智能消费设备制造</t>
  </si>
  <si>
    <t>4090 其他仪器仪表制造业</t>
  </si>
  <si>
    <t>4360 仪器仪表修理</t>
  </si>
  <si>
    <t>5960 中药材仓储</t>
  </si>
  <si>
    <t>9090 其他娱乐业</t>
  </si>
  <si>
    <t>137 蔬菜、菌类、水果和坚果加工</t>
  </si>
  <si>
    <t>149 其他食品制造</t>
  </si>
  <si>
    <t>177 家用纺织制成品制造</t>
  </si>
  <si>
    <t>267 炸药、火工及焰火产品制造</t>
  </si>
  <si>
    <t>2770 卫生材料及医药用品制造</t>
  </si>
  <si>
    <t>2925 塑料人造革、合成革制造</t>
  </si>
  <si>
    <t>307 陶瓷制品制造</t>
  </si>
  <si>
    <t xml:space="preserve">337 搪瓷制品制造 </t>
  </si>
  <si>
    <t>347 文化、办公用机械制造</t>
  </si>
  <si>
    <t>357 农、林、牧、渔专用机械制造</t>
  </si>
  <si>
    <t>3670 汽车零部件及配件制造</t>
  </si>
  <si>
    <t>3770 助动车制造</t>
  </si>
  <si>
    <t>387 照明器具制造</t>
  </si>
  <si>
    <t xml:space="preserve">397 电子器件制造 </t>
  </si>
  <si>
    <t>4390 其他机械和设备修理业</t>
  </si>
  <si>
    <t xml:space="preserve">5990 其他仓储业 </t>
  </si>
  <si>
    <t>139 其他农副食品加工</t>
  </si>
  <si>
    <t>178 产业用纺织制成品制造</t>
  </si>
  <si>
    <t>268 日用化学产品制造</t>
  </si>
  <si>
    <t>2780 药用辅料及包装材料</t>
  </si>
  <si>
    <t>2926 塑料包装箱及容器制造</t>
  </si>
  <si>
    <t>308 耐火材料制品制造</t>
  </si>
  <si>
    <t>338 金属制日用品制造</t>
  </si>
  <si>
    <t xml:space="preserve">348 通用零部件制造 </t>
  </si>
  <si>
    <t xml:space="preserve">358 医疗仪器设备及器械制造 </t>
  </si>
  <si>
    <t>3780 非公路休闲车及零配件制造</t>
  </si>
  <si>
    <t>389 其他电气机械及器材制造</t>
  </si>
  <si>
    <t>398 电子元件及电子专用材料制造</t>
  </si>
  <si>
    <t>2927 日用塑料制品制造</t>
  </si>
  <si>
    <t>309 石墨及其他非金属矿物制品制造</t>
  </si>
  <si>
    <t>339 锻造及其他金属制品制造</t>
  </si>
  <si>
    <t>349 其他通用设备制造</t>
  </si>
  <si>
    <t>359 环保、邮政、社会公共服务及其他专用
设备制造</t>
  </si>
  <si>
    <t>379 潜水救捞及其他未列明运输设备制造</t>
  </si>
  <si>
    <t>3990 其他电子设备制造</t>
  </si>
  <si>
    <t>2928 人造草坪制造</t>
  </si>
  <si>
    <t>2929 塑料零件及其他塑料制品制造</t>
  </si>
  <si>
    <t>一、畜牧业</t>
  </si>
  <si>
    <t>三、食品制造业</t>
  </si>
  <si>
    <t>四、酒、饮料制造业</t>
  </si>
  <si>
    <t>五、烟草制造业</t>
  </si>
  <si>
    <t>六、纺织业</t>
  </si>
  <si>
    <t>七、纺织服装、服饰业</t>
  </si>
  <si>
    <t>八、皮革、毛皮、羽毛及其制品和制鞋业</t>
  </si>
  <si>
    <t>九、木材加工和木、竹、藤、棕、草制品业</t>
  </si>
  <si>
    <t>十、家具制造业</t>
  </si>
  <si>
    <t>十一、造纸和纸制品业</t>
  </si>
  <si>
    <t>十二、印刷和记录媒介复制业</t>
  </si>
  <si>
    <t>十三、文教、工美、体育和娱乐用品制造业</t>
  </si>
  <si>
    <t>十五、化学原料和化学制品制造业</t>
  </si>
  <si>
    <t>十六、医药制造业</t>
  </si>
  <si>
    <t>十七、化学纤维制造业</t>
  </si>
  <si>
    <t>十八、橡胶和塑料制品业</t>
  </si>
  <si>
    <t>十九、非金属矿物制品业</t>
  </si>
  <si>
    <t>二十、黑色金属冶炼和压延加工业</t>
  </si>
  <si>
    <t>二十一、有色金属冶炼和压延加工业</t>
  </si>
  <si>
    <t>二十二、金属制品业</t>
  </si>
  <si>
    <t>二十三、通用设备制造业</t>
  </si>
  <si>
    <t>二十四、专用设备制造业</t>
  </si>
  <si>
    <t>二十五、汽车制造业</t>
  </si>
  <si>
    <t>二十七、电气机械和器材制造业</t>
  </si>
  <si>
    <t>二十八、计算机、通信和其他电子设备制造业</t>
  </si>
  <si>
    <t>二十九、仪器仪表制造业</t>
  </si>
  <si>
    <t>三十、废弃资源综合利用业</t>
  </si>
  <si>
    <t>三十一、电力、热力生产和供应业</t>
  </si>
  <si>
    <t>三十四、环境治理业</t>
  </si>
  <si>
    <t>三十五、公共设施管理业</t>
  </si>
  <si>
    <t>三十六、房地产</t>
  </si>
  <si>
    <t>三十九、卫生</t>
  </si>
  <si>
    <t>四十、社会事业与服务业</t>
  </si>
  <si>
    <t>1 畜禽养殖场、养殖小区</t>
  </si>
  <si>
    <t>2 粮食及饲料加工</t>
  </si>
  <si>
    <t>11 方便食品制造</t>
  </si>
  <si>
    <t>17 酒精饮料及酒类制造</t>
  </si>
  <si>
    <t>19 卷烟</t>
  </si>
  <si>
    <t>20 纺织品制造</t>
  </si>
  <si>
    <t>21 服装制造</t>
  </si>
  <si>
    <t>22、皮革、毛皮、羽毛（绒）
制品</t>
  </si>
  <si>
    <t>24、锯材、木片加工、木制
品制造</t>
  </si>
  <si>
    <t>27、家具制造</t>
  </si>
  <si>
    <t>28、纸浆、溶解浆、纤维浆
等制造；造纸（含废纸
造纸）</t>
  </si>
  <si>
    <t>30、印刷厂；磁材料制品</t>
  </si>
  <si>
    <t>31、文教、体育、娱乐用品制造</t>
  </si>
  <si>
    <t>36、基本化学原料制造；农药制造；涂料、染料、
颜料、油墨及其类似产
品制造；合成材料制造；
专用化学品制造；炸药、
火工及焰火产品制造；
水处理剂等制造</t>
  </si>
  <si>
    <t>40、化学药品制造；生物、
生化制品制造</t>
  </si>
  <si>
    <t>44、化学纤维制造</t>
  </si>
  <si>
    <t>46、轮胎制造、再生橡胶制造、橡胶加工、橡胶制
品制造及翻新制造</t>
  </si>
  <si>
    <t>48、水泥制造</t>
  </si>
  <si>
    <t>58、炼铁、球团、烧结</t>
  </si>
  <si>
    <t>63、有色金属冶炼（含再生有色金属冶炼）</t>
  </si>
  <si>
    <t>67、金属制品加工制造</t>
  </si>
  <si>
    <t>69、通用设备制造及维修</t>
  </si>
  <si>
    <t>70、专用设备制造及维修</t>
  </si>
  <si>
    <t>71、汽车制造</t>
  </si>
  <si>
    <t>78、电气机械及器材制造</t>
  </si>
  <si>
    <t>80、计算机制造</t>
  </si>
  <si>
    <t>85、仪器仪表制造</t>
  </si>
  <si>
    <t>86、废旧资源（含生物质）
加工、再生利用</t>
  </si>
  <si>
    <t>火力发电（含热电）</t>
  </si>
  <si>
    <t>99、脱硫、脱硝、除尘等工程</t>
  </si>
  <si>
    <t>103、城镇生活垃圾转运站</t>
  </si>
  <si>
    <t>106、房地产开发、宾馆、酒
店、办公用房等</t>
  </si>
  <si>
    <t>111、医院、专科防治院（所、站）、社区医疗、卫生院
（所、站）、血站、急救中心、疗养院等其他卫生机构</t>
  </si>
  <si>
    <t>113、学校、幼儿园、托儿所、福利院、养老院</t>
  </si>
  <si>
    <t>12 乳制品制造</t>
  </si>
  <si>
    <t>18 果菜汁类及其他软饮料制造</t>
  </si>
  <si>
    <t xml:space="preserve">23、制鞋业 </t>
  </si>
  <si>
    <t>25、人造板制造</t>
  </si>
  <si>
    <t>32、工艺品制造</t>
  </si>
  <si>
    <t>37、肥料制造</t>
  </si>
  <si>
    <t>41、单纯药品分装、复配</t>
  </si>
  <si>
    <t>45、生物质纤维素乙醇生产</t>
  </si>
  <si>
    <t>47、塑料制品制造</t>
  </si>
  <si>
    <t>49、水泥粉磨站</t>
  </si>
  <si>
    <t>59、炼钢</t>
  </si>
  <si>
    <t>64、有色金属合金制造</t>
  </si>
  <si>
    <t>68、金属制品表面处理及热
处理加工</t>
  </si>
  <si>
    <t>79、太阳能电池片</t>
  </si>
  <si>
    <t>81、电子真空器件、集成电
路、半导体分立器件制
造、光电子器件、其他
电子器件制造等</t>
  </si>
  <si>
    <t>综合利用发电</t>
  </si>
  <si>
    <t>112、疾病预防控制中心</t>
  </si>
  <si>
    <t>115、餐饮、娱乐、洗浴场所</t>
  </si>
  <si>
    <t>4 制糖、糖制品加工</t>
  </si>
  <si>
    <t>13 调味品、发酵制品制造</t>
  </si>
  <si>
    <t>38、半导体材料</t>
  </si>
  <si>
    <t>42、中成药制造、中药饮片加工</t>
  </si>
  <si>
    <t>50、砼结构构件制造、商品
混凝土加工</t>
  </si>
  <si>
    <t>60、黑色金属铸造</t>
  </si>
  <si>
    <t>65、有色金属铸造</t>
  </si>
  <si>
    <t>82、印刷电路板、电子元件
及组件制造</t>
  </si>
  <si>
    <t>热力生产和供应工程</t>
  </si>
  <si>
    <t>119、公园（含动物园、植物
园、主题公园）</t>
  </si>
  <si>
    <t>5 屠宰</t>
  </si>
  <si>
    <t>14 盐加工</t>
  </si>
  <si>
    <t>39、日用化学品制造</t>
  </si>
  <si>
    <t>43、卫生材料及医药用品制造</t>
  </si>
  <si>
    <t>51、石灰和石膏制造、石材
加工、人造石制造、砖
瓦制造</t>
  </si>
  <si>
    <t>61、压延加工</t>
  </si>
  <si>
    <t>66、压延加工</t>
  </si>
  <si>
    <t>83、电子陶瓷、有机薄膜、
荧光粉、贵金属粉等电
子专用材料</t>
  </si>
  <si>
    <t xml:space="preserve">124、加油、加气站 </t>
  </si>
  <si>
    <t>6 肉禽类加工</t>
  </si>
  <si>
    <t>15 饲料添加剂、食品添加剂制造</t>
  </si>
  <si>
    <t>52、玻璃及玻璃制品</t>
  </si>
  <si>
    <t>62、铁合金制造；锰、铬冶炼</t>
  </si>
  <si>
    <t>84、电子配件组装</t>
  </si>
  <si>
    <t>125、洗车场</t>
  </si>
  <si>
    <t>7 水产品加工</t>
  </si>
  <si>
    <t>16 营养食品、保健食品、冷冻饮品、食用冰制造及其他食品制造</t>
  </si>
  <si>
    <t>53、玻璃纤维及玻璃纤维增
强塑料制品</t>
  </si>
  <si>
    <t>126、汽车、摩托车维修场所</t>
  </si>
  <si>
    <t>8 淀粉、淀粉糖</t>
  </si>
  <si>
    <t>54、陶瓷制品</t>
  </si>
  <si>
    <t>9 豆制品制造</t>
  </si>
  <si>
    <t>55、耐火材料及其制品</t>
  </si>
  <si>
    <t>10 蛋品加工</t>
  </si>
  <si>
    <t>56、石墨及其他非金属矿物
制品</t>
  </si>
  <si>
    <t>57、防水建筑材料制造、沥
青搅拌站、干粉砂浆搅
拌站</t>
  </si>
  <si>
    <t>其他</t>
  </si>
  <si>
    <t>除单纯分装和调和外的</t>
  </si>
  <si>
    <t>年加工2万吨及以上</t>
  </si>
  <si>
    <t>鱼油提取及制品制造；
年加工10万吨及以上
的；涉及环境敏感区的</t>
  </si>
  <si>
    <t>其他（单纯分装除外）</t>
  </si>
  <si>
    <t>除手工制作和单纯分
装外的</t>
  </si>
  <si>
    <t>其他（手工制作和单纯
分装除外）</t>
  </si>
  <si>
    <t>全部</t>
  </si>
  <si>
    <t>单纯混合或分装的</t>
  </si>
  <si>
    <t>其他（编织物及其制品
制造除外）</t>
  </si>
  <si>
    <t>新建年加工100万件及以上</t>
  </si>
  <si>
    <t>使用有机溶剂的</t>
  </si>
  <si>
    <t>有喷漆工艺且年用油
性漆量（含稀释剂）10
吨以下的，或使用水性
漆的；有机加工的</t>
  </si>
  <si>
    <t>单纯纺丝</t>
  </si>
  <si>
    <t>其他玻璃制造；以煤、
油、天然气为燃料加热
的玻璃制品制造</t>
  </si>
  <si>
    <t>其他(仅切割组装除外)</t>
  </si>
  <si>
    <t>其他（仅组装的除外）</t>
  </si>
  <si>
    <t xml:space="preserve">其他 </t>
  </si>
  <si>
    <t>有分割、焊接、酸洗或有机溶剂清洗工艺的</t>
  </si>
  <si>
    <t>有分割、焊接、酸洗或
有机溶剂清洗工艺的</t>
  </si>
  <si>
    <t>有分割、焊接（手工焊接除外）、酸洗或有机溶剂清洗工艺的</t>
  </si>
  <si>
    <t>燃气发电</t>
  </si>
  <si>
    <t>单纯利用余热、余压、
余气（含煤层气）发电</t>
  </si>
  <si>
    <t>其他（电热锅炉除外）</t>
  </si>
  <si>
    <t xml:space="preserve">脱硫、脱硝  </t>
  </si>
  <si>
    <t>建筑面积5万平方米及以上；涉及环境敏感区的</t>
  </si>
  <si>
    <t>其他（20张床位以下
的、中医门诊除外）</t>
  </si>
  <si>
    <t>建筑面积5万平方米及以上；有实验室的学校（P3、P4生物安全实验室除外）</t>
  </si>
  <si>
    <t>新建、扩建</t>
  </si>
  <si>
    <t>营业面积1000平方米及以上；涉及环境敏感区的</t>
  </si>
  <si>
    <t>营业面积5000平方米及以上；涉及环境敏感区的</t>
  </si>
  <si>
    <t>国环评证乙字第2869号</t>
  </si>
  <si>
    <t>广州市天河区粤垦路607号力达广场A2栋1803室</t>
  </si>
  <si>
    <t>深圳市环新环保技术有限公司</t>
  </si>
  <si>
    <t>国环评证乙字第2872号</t>
  </si>
  <si>
    <t>0755-82913063</t>
  </si>
  <si>
    <t>深圳市福田区彩田路彩虹新都海鹰大厦26A</t>
  </si>
  <si>
    <t>广东顺德环境科学研究院有限公司</t>
  </si>
  <si>
    <t>国环评证乙字第2811号</t>
  </si>
  <si>
    <t>0757-82583173</t>
  </si>
  <si>
    <t>佛山市顺德区大良街道新城区兴业路2号</t>
  </si>
  <si>
    <t>不锈钢管</t>
  </si>
  <si>
    <t>幻灯片总数</t>
  </si>
  <si>
    <t>制锁工艺</t>
  </si>
  <si>
    <t>布菲餐桌</t>
  </si>
  <si>
    <t>电器塑料配件</t>
  </si>
  <si>
    <t>电路板插头加工</t>
  </si>
  <si>
    <t>皮质家具工艺</t>
  </si>
  <si>
    <t>实木家具工艺</t>
  </si>
  <si>
    <t>塑料色母生产</t>
  </si>
  <si>
    <t>电器配件组装</t>
  </si>
  <si>
    <t>超声波焊机-塑料</t>
  </si>
  <si>
    <t>振光机-混水阀</t>
  </si>
  <si>
    <t>软皮床工艺</t>
  </si>
  <si>
    <t>棕榈床垫加工</t>
  </si>
</sst>
</file>

<file path=xl/styles.xml><?xml version="1.0" encoding="utf-8"?>
<styleSheet xmlns="http://schemas.openxmlformats.org/spreadsheetml/2006/main">
  <numFmts count="8">
    <numFmt numFmtId="44" formatCode="_ &quot;￥&quot;* #,##0.00_ ;_ &quot;￥&quot;* \-#,##0.00_ ;_ &quot;￥&quot;* &quot;-&quot;??_ ;_ @_ "/>
    <numFmt numFmtId="41" formatCode="_ * #,##0_ ;_ * \-#,##0_ ;_ * &quot;-&quot;_ ;_ @_ "/>
    <numFmt numFmtId="43" formatCode="_ * #,##0.00_ ;_ * \-#,##0.00_ ;_ * &quot;-&quot;??_ ;_ @_ "/>
    <numFmt numFmtId="42" formatCode="_ &quot;￥&quot;* #,##0_ ;_ &quot;￥&quot;* \-#,##0_ ;_ &quot;￥&quot;* &quot;-&quot;_ ;_ @_ "/>
    <numFmt numFmtId="176" formatCode="0.00_);[Red]\(0.00\)"/>
    <numFmt numFmtId="177" formatCode="0.0"/>
    <numFmt numFmtId="178" formatCode="0.0000%"/>
    <numFmt numFmtId="179" formatCode="0.000%"/>
  </numFmts>
  <fonts count="106">
    <font>
      <sz val="11"/>
      <color theme="1"/>
      <name val="等线"/>
      <charset val="134"/>
      <scheme val="minor"/>
    </font>
    <font>
      <sz val="10"/>
      <color theme="1"/>
      <name val="宋体"/>
      <charset val="134"/>
    </font>
    <font>
      <sz val="10"/>
      <color rgb="FFFF0000"/>
      <name val="宋体"/>
      <charset val="134"/>
    </font>
    <font>
      <sz val="11"/>
      <color theme="1"/>
      <name val="宋体"/>
      <charset val="134"/>
    </font>
    <font>
      <sz val="11"/>
      <color rgb="FF000000"/>
      <name val="宋体"/>
      <charset val="134"/>
    </font>
    <font>
      <sz val="10.5"/>
      <color theme="1"/>
      <name val="Calibri"/>
      <charset val="134"/>
    </font>
    <font>
      <sz val="10.5"/>
      <name val="宋体"/>
      <charset val="134"/>
    </font>
    <font>
      <sz val="11"/>
      <name val="等线"/>
      <charset val="134"/>
      <scheme val="minor"/>
    </font>
    <font>
      <sz val="10.5"/>
      <color rgb="FFFF0000"/>
      <name val="Times New Roman"/>
      <charset val="134"/>
    </font>
    <font>
      <sz val="10.5"/>
      <name val="Times New Roman"/>
      <charset val="134"/>
    </font>
    <font>
      <b/>
      <sz val="10"/>
      <color rgb="FFFFFFFF"/>
      <name val="Arial"/>
      <charset val="134"/>
    </font>
    <font>
      <sz val="10"/>
      <color rgb="FF000000"/>
      <name val="Arial"/>
      <charset val="134"/>
    </font>
    <font>
      <sz val="10"/>
      <color rgb="FF000000"/>
      <name val="等线"/>
      <charset val="134"/>
    </font>
    <font>
      <sz val="11"/>
      <color theme="1"/>
      <name val="等线"/>
      <charset val="134"/>
      <scheme val="minor"/>
    </font>
    <font>
      <sz val="10"/>
      <name val="等线"/>
      <charset val="134"/>
      <scheme val="minor"/>
    </font>
    <font>
      <sz val="10"/>
      <color rgb="FFFF0000"/>
      <name val="Times New Roman"/>
      <charset val="134"/>
    </font>
    <font>
      <sz val="10"/>
      <color indexed="10"/>
      <name val="Times New Roman"/>
      <charset val="134"/>
    </font>
    <font>
      <sz val="10"/>
      <color theme="1"/>
      <name val="等线"/>
      <charset val="134"/>
      <scheme val="minor"/>
    </font>
    <font>
      <sz val="10.5"/>
      <color rgb="FF000000"/>
      <name val="宋体"/>
      <charset val="134"/>
    </font>
    <font>
      <sz val="11"/>
      <color rgb="FFFF0000"/>
      <name val="等线"/>
      <charset val="134"/>
      <scheme val="minor"/>
    </font>
    <font>
      <sz val="10"/>
      <color rgb="FFFF0000"/>
      <name val="等线"/>
      <charset val="134"/>
      <scheme val="minor"/>
    </font>
    <font>
      <sz val="10"/>
      <name val="宋体"/>
      <charset val="134"/>
    </font>
    <font>
      <sz val="10"/>
      <color theme="1"/>
      <name val="Times New Roman"/>
      <charset val="134"/>
    </font>
    <font>
      <sz val="10"/>
      <name val="Times New Roman"/>
      <charset val="134"/>
    </font>
    <font>
      <b/>
      <sz val="9"/>
      <name val="Times New Roman"/>
      <charset val="134"/>
    </font>
    <font>
      <b/>
      <sz val="9"/>
      <name val="宋体"/>
      <charset val="134"/>
    </font>
    <font>
      <b/>
      <sz val="9"/>
      <color theme="1"/>
      <name val="Times New Roman"/>
      <charset val="134"/>
    </font>
    <font>
      <b/>
      <sz val="9"/>
      <color indexed="8"/>
      <name val="宋体"/>
      <charset val="134"/>
    </font>
    <font>
      <sz val="11"/>
      <name val="等线"/>
      <charset val="134"/>
      <scheme val="minor"/>
    </font>
    <font>
      <sz val="10.5"/>
      <name val="Times New Roman"/>
      <charset val="134"/>
    </font>
    <font>
      <sz val="10.5"/>
      <color theme="1"/>
      <name val="等线"/>
      <charset val="134"/>
      <scheme val="minor"/>
    </font>
    <font>
      <b/>
      <sz val="12"/>
      <color rgb="FF000000"/>
      <name val="等线"/>
      <charset val="134"/>
      <scheme val="minor"/>
    </font>
    <font>
      <sz val="12"/>
      <color theme="1"/>
      <name val="等线"/>
      <charset val="134"/>
      <scheme val="minor"/>
    </font>
    <font>
      <b/>
      <sz val="11"/>
      <color theme="1"/>
      <name val="等线"/>
      <charset val="134"/>
      <scheme val="minor"/>
    </font>
    <font>
      <sz val="12"/>
      <color rgb="FFFF0000"/>
      <name val="等线"/>
      <charset val="134"/>
      <scheme val="minor"/>
    </font>
    <font>
      <sz val="12"/>
      <color rgb="FF000000"/>
      <name val="宋体"/>
      <charset val="134"/>
    </font>
    <font>
      <sz val="10.5"/>
      <color theme="1"/>
      <name val="等线"/>
      <charset val="134"/>
      <scheme val="minor"/>
    </font>
    <font>
      <sz val="10.5"/>
      <color theme="1"/>
      <name val="Times New Roman"/>
      <charset val="134"/>
    </font>
    <font>
      <b/>
      <sz val="10.5"/>
      <color theme="1"/>
      <name val="等线"/>
      <charset val="134"/>
      <scheme val="minor"/>
    </font>
    <font>
      <b/>
      <sz val="10.5"/>
      <color rgb="FFFF0000"/>
      <name val="宋体"/>
      <charset val="134"/>
    </font>
    <font>
      <b/>
      <sz val="10.5"/>
      <color theme="1"/>
      <name val="Times New Roman"/>
      <charset val="134"/>
    </font>
    <font>
      <sz val="10.5"/>
      <color theme="1"/>
      <name val="宋体"/>
      <charset val="134"/>
    </font>
    <font>
      <b/>
      <sz val="10.5"/>
      <name val="宋体"/>
      <charset val="134"/>
    </font>
    <font>
      <b/>
      <sz val="10.5"/>
      <color rgb="FF000000"/>
      <name val="宋体"/>
      <charset val="134"/>
    </font>
    <font>
      <b/>
      <sz val="10.5"/>
      <color rgb="FF000000"/>
      <name val="Times New Roman"/>
      <charset val="134"/>
    </font>
    <font>
      <b/>
      <sz val="10.5"/>
      <color theme="1"/>
      <name val="宋体"/>
      <charset val="134"/>
    </font>
    <font>
      <sz val="10.5"/>
      <color rgb="FFFF0000"/>
      <name val="宋体"/>
      <charset val="134"/>
    </font>
    <font>
      <sz val="10.5"/>
      <color rgb="FF000000"/>
      <name val="Times New Roman"/>
      <charset val="134"/>
    </font>
    <font>
      <sz val="11"/>
      <color rgb="FFFFFF00"/>
      <name val="等线"/>
      <charset val="134"/>
      <scheme val="minor"/>
    </font>
    <font>
      <sz val="9"/>
      <color rgb="FF000000"/>
      <name val="宋体"/>
      <charset val="134"/>
    </font>
    <font>
      <sz val="9"/>
      <color theme="1"/>
      <name val="宋体"/>
      <charset val="134"/>
    </font>
    <font>
      <sz val="9"/>
      <color rgb="FF000000"/>
      <name val="Times New Roman"/>
      <charset val="134"/>
    </font>
    <font>
      <sz val="9"/>
      <color theme="1"/>
      <name val="Times New Roman"/>
      <charset val="134"/>
    </font>
    <font>
      <sz val="9"/>
      <color theme="1"/>
      <name val="等线"/>
      <charset val="134"/>
      <scheme val="minor"/>
    </font>
    <font>
      <sz val="9"/>
      <color theme="1"/>
      <name val="等线"/>
      <charset val="134"/>
      <scheme val="minor"/>
    </font>
    <font>
      <b/>
      <sz val="11"/>
      <color rgb="FFFF0000"/>
      <name val="等线"/>
      <charset val="134"/>
      <scheme val="minor"/>
    </font>
    <font>
      <sz val="10.5"/>
      <color indexed="8"/>
      <name val="宋体"/>
      <charset val="134"/>
    </font>
    <font>
      <sz val="11"/>
      <color rgb="FFFF0000"/>
      <name val="等线"/>
      <charset val="134"/>
      <scheme val="minor"/>
    </font>
    <font>
      <sz val="9"/>
      <color indexed="8"/>
      <name val="宋体"/>
      <charset val="134"/>
    </font>
    <font>
      <sz val="10.5"/>
      <color indexed="8"/>
      <name val="Times New Roman"/>
      <charset val="134"/>
    </font>
    <font>
      <sz val="10.5"/>
      <color rgb="FF538135"/>
      <name val="宋体"/>
      <charset val="134"/>
    </font>
    <font>
      <sz val="10.5"/>
      <color theme="2" tint="-0.0999786370433668"/>
      <name val="宋体"/>
      <charset val="134"/>
    </font>
    <font>
      <sz val="12"/>
      <color theme="1"/>
      <name val="宋体"/>
      <charset val="134"/>
    </font>
    <font>
      <sz val="10.5"/>
      <color theme="0"/>
      <name val="等线"/>
      <charset val="134"/>
      <scheme val="minor"/>
    </font>
    <font>
      <b/>
      <sz val="10.5"/>
      <color rgb="FF00B0F0"/>
      <name val="宋体"/>
      <charset val="134"/>
    </font>
    <font>
      <b/>
      <sz val="10.5"/>
      <color rgb="FFFF0000"/>
      <name val="等线"/>
      <charset val="134"/>
      <scheme val="minor"/>
    </font>
    <font>
      <sz val="10.5"/>
      <color rgb="FFFF0000"/>
      <name val="等线"/>
      <charset val="134"/>
      <scheme val="minor"/>
    </font>
    <font>
      <sz val="10.5"/>
      <color rgb="FFFF0000"/>
      <name val="等线"/>
      <charset val="134"/>
      <scheme val="minor"/>
    </font>
    <font>
      <b/>
      <sz val="10.5"/>
      <name val="等线"/>
      <charset val="134"/>
      <scheme val="minor"/>
    </font>
    <font>
      <b/>
      <sz val="11"/>
      <color rgb="FFFA7D00"/>
      <name val="等线"/>
      <charset val="0"/>
      <scheme val="minor"/>
    </font>
    <font>
      <sz val="11"/>
      <color theme="1"/>
      <name val="等线"/>
      <charset val="134"/>
      <scheme val="minor"/>
    </font>
    <font>
      <b/>
      <sz val="11"/>
      <color theme="3"/>
      <name val="等线"/>
      <charset val="134"/>
      <scheme val="minor"/>
    </font>
    <font>
      <b/>
      <sz val="11"/>
      <color rgb="FFFFFFFF"/>
      <name val="等线"/>
      <charset val="0"/>
      <scheme val="minor"/>
    </font>
    <font>
      <u/>
      <sz val="11"/>
      <color rgb="FF0000FF"/>
      <name val="等线"/>
      <charset val="0"/>
      <scheme val="minor"/>
    </font>
    <font>
      <sz val="11"/>
      <color rgb="FF3F3F76"/>
      <name val="等线"/>
      <charset val="0"/>
      <scheme val="minor"/>
    </font>
    <font>
      <sz val="11"/>
      <color theme="1"/>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i/>
      <sz val="11"/>
      <color rgb="FF7F7F7F"/>
      <name val="等线"/>
      <charset val="0"/>
      <scheme val="minor"/>
    </font>
    <font>
      <u/>
      <sz val="11"/>
      <color rgb="FF800080"/>
      <name val="等线"/>
      <charset val="0"/>
      <scheme val="minor"/>
    </font>
    <font>
      <sz val="11"/>
      <color theme="0"/>
      <name val="等线"/>
      <charset val="134"/>
      <scheme val="minor"/>
    </font>
    <font>
      <b/>
      <sz val="11"/>
      <color theme="1"/>
      <name val="等线"/>
      <charset val="0"/>
      <scheme val="minor"/>
    </font>
    <font>
      <b/>
      <sz val="15"/>
      <color theme="3"/>
      <name val="等线"/>
      <charset val="134"/>
      <scheme val="minor"/>
    </font>
    <font>
      <b/>
      <sz val="13"/>
      <color theme="3"/>
      <name val="等线"/>
      <charset val="134"/>
      <scheme val="minor"/>
    </font>
    <font>
      <sz val="11"/>
      <color rgb="FFFF0000"/>
      <name val="等线"/>
      <charset val="0"/>
      <scheme val="minor"/>
    </font>
    <font>
      <b/>
      <sz val="18"/>
      <color theme="3"/>
      <name val="等线"/>
      <charset val="134"/>
      <scheme val="minor"/>
    </font>
    <font>
      <sz val="11"/>
      <color rgb="FF006100"/>
      <name val="等线"/>
      <charset val="0"/>
      <scheme val="minor"/>
    </font>
    <font>
      <b/>
      <sz val="11"/>
      <color rgb="FF3F3F3F"/>
      <name val="等线"/>
      <charset val="0"/>
      <scheme val="minor"/>
    </font>
    <font>
      <sz val="11"/>
      <color rgb="FFFA7D00"/>
      <name val="等线"/>
      <charset val="0"/>
      <scheme val="minor"/>
    </font>
    <font>
      <vertAlign val="subscript"/>
      <sz val="11"/>
      <color rgb="FF000000"/>
      <name val="宋体"/>
      <charset val="134"/>
    </font>
    <font>
      <vertAlign val="subscript"/>
      <sz val="11"/>
      <color theme="1"/>
      <name val="宋体"/>
      <charset val="134"/>
    </font>
    <font>
      <vertAlign val="superscript"/>
      <sz val="11"/>
      <color theme="1"/>
      <name val="等线"/>
      <charset val="134"/>
      <scheme val="minor"/>
    </font>
    <font>
      <sz val="10"/>
      <color indexed="10"/>
      <name val="宋体"/>
      <charset val="134"/>
    </font>
    <font>
      <sz val="12"/>
      <color theme="1"/>
      <name val="Times New Roman"/>
      <charset val="134"/>
    </font>
    <font>
      <vertAlign val="subscript"/>
      <sz val="10"/>
      <color indexed="10"/>
      <name val="Times New Roman"/>
      <charset val="134"/>
    </font>
    <font>
      <b/>
      <sz val="9"/>
      <color indexed="8"/>
      <name val="Times New Roman"/>
      <charset val="134"/>
    </font>
    <font>
      <sz val="12"/>
      <color rgb="FFFF0000"/>
      <name val="Times New Roman"/>
      <charset val="134"/>
    </font>
    <font>
      <sz val="12"/>
      <color rgb="FFFF0000"/>
      <name val="宋体"/>
      <charset val="134"/>
    </font>
    <font>
      <vertAlign val="superscript"/>
      <sz val="10.5"/>
      <name val="Times New Roman"/>
      <charset val="134"/>
    </font>
    <font>
      <vertAlign val="subscript"/>
      <sz val="10.5"/>
      <name val="Times New Roman"/>
      <charset val="134"/>
    </font>
    <font>
      <vertAlign val="superscript"/>
      <sz val="10.5"/>
      <color rgb="FFFF0000"/>
      <name val="Times New Roman"/>
      <charset val="134"/>
    </font>
    <font>
      <vertAlign val="superscript"/>
      <sz val="10.5"/>
      <color theme="1"/>
      <name val="Times New Roman"/>
      <charset val="134"/>
    </font>
    <font>
      <vertAlign val="subscript"/>
      <sz val="10.5"/>
      <color theme="1"/>
      <name val="Times New Roman"/>
      <charset val="134"/>
    </font>
    <font>
      <sz val="10.5"/>
      <color theme="0"/>
      <name val="等线"/>
      <charset val="134"/>
      <scheme val="minor"/>
    </font>
    <font>
      <vertAlign val="superscript"/>
      <sz val="10.5"/>
      <color indexed="8"/>
      <name val="Times New Roman"/>
      <charset val="134"/>
    </font>
  </fonts>
  <fills count="50">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rgb="FF5B9BD5"/>
        <bgColor indexed="64"/>
      </patternFill>
    </fill>
    <fill>
      <patternFill patternType="solid">
        <fgColor rgb="FFD2DEEF"/>
        <bgColor indexed="64"/>
      </patternFill>
    </fill>
    <fill>
      <patternFill patternType="solid">
        <fgColor rgb="FFEAEFF7"/>
        <bgColor indexed="64"/>
      </patternFill>
    </fill>
    <fill>
      <patternFill patternType="solid">
        <fgColor rgb="FFFF0000"/>
        <bgColor indexed="64"/>
      </patternFill>
    </fill>
    <fill>
      <patternFill patternType="solid">
        <fgColor rgb="FFFF9FFF"/>
        <bgColor indexed="64"/>
      </patternFill>
    </fill>
    <fill>
      <patternFill patternType="solid">
        <fgColor rgb="FFFFB871"/>
        <bgColor indexed="64"/>
      </patternFill>
    </fill>
    <fill>
      <patternFill patternType="solid">
        <fgColor theme="9"/>
        <bgColor indexed="64"/>
      </patternFill>
    </fill>
    <fill>
      <patternFill patternType="solid">
        <fgColor rgb="FFFF7C5D"/>
        <bgColor indexed="64"/>
      </patternFill>
    </fill>
    <fill>
      <patternFill patternType="solid">
        <fgColor theme="9" tint="0.799981688894314"/>
        <bgColor indexed="64"/>
      </patternFill>
    </fill>
    <fill>
      <patternFill patternType="solid">
        <fgColor rgb="FFFFFF85"/>
        <bgColor indexed="64"/>
      </patternFill>
    </fill>
    <fill>
      <patternFill patternType="solid">
        <fgColor rgb="FF19FFC3"/>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theme="9" tint="0.599993896298105"/>
        <bgColor indexed="64"/>
      </patternFill>
    </fill>
    <fill>
      <patternFill patternType="solid">
        <fgColor theme="5" tint="0.599993896298105"/>
        <bgColor indexed="64"/>
      </patternFill>
    </fill>
    <fill>
      <patternFill patternType="solid">
        <fgColor rgb="FFCCFF66"/>
        <bgColor indexed="64"/>
      </patternFill>
    </fill>
    <fill>
      <patternFill patternType="solid">
        <fgColor rgb="FFF2F2F2"/>
        <bgColor indexed="64"/>
      </patternFill>
    </fill>
    <fill>
      <patternFill patternType="solid">
        <fgColor rgb="FFA5A5A5"/>
        <bgColor indexed="64"/>
      </patternFill>
    </fill>
    <fill>
      <patternFill patternType="solid">
        <fgColor rgb="FFFFCC99"/>
        <bgColor indexed="64"/>
      </patternFill>
    </fill>
    <fill>
      <patternFill patternType="solid">
        <fgColor theme="5" tint="0.599993896298105"/>
        <bgColor indexed="64"/>
      </patternFill>
    </fill>
    <fill>
      <patternFill patternType="solid">
        <fgColor theme="9" tint="0.799981688894314"/>
        <bgColor indexed="64"/>
      </patternFill>
    </fill>
    <fill>
      <patternFill patternType="solid">
        <fgColor rgb="FFFFC7CE"/>
        <bgColor indexed="64"/>
      </patternFill>
    </fill>
    <fill>
      <patternFill patternType="solid">
        <fgColor rgb="FFFFEB9C"/>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8"/>
        <bgColor indexed="64"/>
      </patternFill>
    </fill>
    <fill>
      <patternFill patternType="solid">
        <fgColor theme="5"/>
        <bgColor indexed="64"/>
      </patternFill>
    </fill>
    <fill>
      <patternFill patternType="solid">
        <fgColor theme="6" tint="0.399975585192419"/>
        <bgColor indexed="64"/>
      </patternFill>
    </fill>
    <fill>
      <patternFill patternType="solid">
        <fgColor theme="7"/>
        <bgColor indexed="64"/>
      </patternFill>
    </fill>
    <fill>
      <patternFill patternType="solid">
        <fgColor theme="5" tint="0.799981688894314"/>
        <bgColor indexed="64"/>
      </patternFill>
    </fill>
    <fill>
      <patternFill patternType="solid">
        <fgColor rgb="FFFFFFCC"/>
        <bgColor indexed="64"/>
      </patternFill>
    </fill>
    <fill>
      <patternFill patternType="solid">
        <fgColor theme="9" tint="0.399975585192419"/>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4" tint="0.799981688894314"/>
        <bgColor indexed="64"/>
      </patternFill>
    </fill>
    <fill>
      <patternFill patternType="solid">
        <fgColor rgb="FFC6EFCE"/>
        <bgColor indexed="64"/>
      </patternFill>
    </fill>
    <fill>
      <patternFill patternType="solid">
        <fgColor theme="8" tint="0.799981688894314"/>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theme="7" tint="0.799981688894314"/>
        <bgColor indexed="64"/>
      </patternFill>
    </fill>
    <fill>
      <patternFill patternType="solid">
        <fgColor theme="6"/>
        <bgColor indexed="64"/>
      </patternFill>
    </fill>
    <fill>
      <patternFill patternType="solid">
        <fgColor theme="4" tint="0.599993896298105"/>
        <bgColor indexed="64"/>
      </patternFill>
    </fill>
    <fill>
      <patternFill patternType="solid">
        <fgColor theme="4"/>
        <bgColor indexed="64"/>
      </patternFill>
    </fill>
  </fills>
  <borders count="29">
    <border>
      <left/>
      <right/>
      <top/>
      <bottom/>
      <diagonal/>
    </border>
    <border>
      <left style="medium">
        <color rgb="FFFFFFFF"/>
      </left>
      <right style="medium">
        <color rgb="FFFFFFFF"/>
      </right>
      <top style="thick">
        <color rgb="FFFFFFFF"/>
      </top>
      <bottom style="medium">
        <color rgb="FFFFFFFF"/>
      </bottom>
      <diagonal/>
    </border>
    <border>
      <left style="medium">
        <color rgb="FFFFFFFF"/>
      </left>
      <right style="medium">
        <color rgb="FFFFFFFF"/>
      </right>
      <top style="medium">
        <color rgb="FFFFFFFF"/>
      </top>
      <bottom style="medium">
        <color rgb="FFFFFFFF"/>
      </bottom>
      <diagonal/>
    </border>
    <border>
      <left/>
      <right style="thin">
        <color auto="1"/>
      </right>
      <top/>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dashed">
        <color auto="1"/>
      </left>
      <right style="dashed">
        <color auto="1"/>
      </right>
      <top style="dashed">
        <color auto="1"/>
      </top>
      <bottom style="dashed">
        <color auto="1"/>
      </bottom>
      <diagonal/>
    </border>
    <border>
      <left/>
      <right/>
      <top/>
      <bottom style="medium">
        <color rgb="FFFFFFFF"/>
      </bottom>
      <diagonal/>
    </border>
    <border>
      <left style="medium">
        <color rgb="FFFFFFFF"/>
      </left>
      <right style="medium">
        <color rgb="FFFFFFFF"/>
      </right>
      <top style="medium">
        <color rgb="FFFFFFFF"/>
      </top>
      <bottom style="thick">
        <color rgb="FFFFFFFF"/>
      </bottom>
      <diagonal/>
    </border>
    <border>
      <left/>
      <right style="medium">
        <color rgb="FFFFFFFF"/>
      </right>
      <top style="medium">
        <color rgb="FFFFFFFF"/>
      </top>
      <bottom style="medium">
        <color rgb="FFFFFFFF"/>
      </bottom>
      <diagonal/>
    </border>
    <border>
      <left style="medium">
        <color rgb="FFFFFFFF"/>
      </left>
      <right style="medium">
        <color rgb="FFFFFFFF"/>
      </right>
      <top style="medium">
        <color rgb="FFFFFFFF"/>
      </top>
      <bottom/>
      <diagonal/>
    </border>
    <border>
      <left style="dashed">
        <color auto="1"/>
      </left>
      <right style="dashed">
        <color auto="1"/>
      </right>
      <top/>
      <bottom style="dashed">
        <color auto="1"/>
      </bottom>
      <diagonal/>
    </border>
    <border>
      <left style="dashed">
        <color auto="1"/>
      </left>
      <right style="dashed">
        <color auto="1"/>
      </right>
      <top style="dashed">
        <color auto="1"/>
      </top>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60">
    <xf numFmtId="0" fontId="0" fillId="0" borderId="0"/>
    <xf numFmtId="42" fontId="70" fillId="0" borderId="0" applyFont="0" applyFill="0" applyBorder="0" applyAlignment="0" applyProtection="0">
      <alignment vertical="center"/>
    </xf>
    <xf numFmtId="0" fontId="75" fillId="28" borderId="0" applyNumberFormat="0" applyBorder="0" applyAlignment="0" applyProtection="0">
      <alignment vertical="center"/>
    </xf>
    <xf numFmtId="0" fontId="74" fillId="22" borderId="21" applyNumberFormat="0" applyAlignment="0" applyProtection="0">
      <alignment vertical="center"/>
    </xf>
    <xf numFmtId="44" fontId="70" fillId="0" borderId="0" applyFont="0" applyFill="0" applyBorder="0" applyAlignment="0" applyProtection="0">
      <alignment vertical="center"/>
    </xf>
    <xf numFmtId="41" fontId="70" fillId="0" borderId="0" applyFont="0" applyFill="0" applyBorder="0" applyAlignment="0" applyProtection="0">
      <alignment vertical="center"/>
    </xf>
    <xf numFmtId="0" fontId="75" fillId="29" borderId="0" applyNumberFormat="0" applyBorder="0" applyAlignment="0" applyProtection="0">
      <alignment vertical="center"/>
    </xf>
    <xf numFmtId="0" fontId="76" fillId="25" borderId="0" applyNumberFormat="0" applyBorder="0" applyAlignment="0" applyProtection="0">
      <alignment vertical="center"/>
    </xf>
    <xf numFmtId="43" fontId="70" fillId="0" borderId="0" applyFont="0" applyFill="0" applyBorder="0" applyAlignment="0" applyProtection="0">
      <alignment vertical="center"/>
    </xf>
    <xf numFmtId="0" fontId="78" fillId="32" borderId="0" applyNumberFormat="0" applyBorder="0" applyAlignment="0" applyProtection="0">
      <alignment vertical="center"/>
    </xf>
    <xf numFmtId="0" fontId="73" fillId="0" borderId="0" applyNumberFormat="0" applyFill="0" applyBorder="0" applyAlignment="0" applyProtection="0">
      <alignment vertical="center"/>
    </xf>
    <xf numFmtId="9" fontId="70" fillId="0" borderId="0" applyFont="0" applyFill="0" applyBorder="0" applyAlignment="0" applyProtection="0">
      <alignment vertical="center"/>
    </xf>
    <xf numFmtId="0" fontId="80" fillId="0" borderId="0" applyNumberFormat="0" applyFill="0" applyBorder="0" applyAlignment="0" applyProtection="0">
      <alignment vertical="center"/>
    </xf>
    <xf numFmtId="0" fontId="13" fillId="0" borderId="0"/>
    <xf numFmtId="0" fontId="70" fillId="35" borderId="26" applyNumberFormat="0" applyFont="0" applyAlignment="0" applyProtection="0">
      <alignment vertical="center"/>
    </xf>
    <xf numFmtId="0" fontId="78" fillId="27" borderId="0" applyNumberFormat="0" applyBorder="0" applyAlignment="0" applyProtection="0">
      <alignment vertical="center"/>
    </xf>
    <xf numFmtId="0" fontId="71"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6"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0" fillId="0" borderId="0">
      <alignment vertical="center"/>
    </xf>
    <xf numFmtId="0" fontId="83" fillId="0" borderId="25" applyNumberFormat="0" applyFill="0" applyAlignment="0" applyProtection="0">
      <alignment vertical="center"/>
    </xf>
    <xf numFmtId="0" fontId="84" fillId="0" borderId="25" applyNumberFormat="0" applyFill="0" applyAlignment="0" applyProtection="0">
      <alignment vertical="center"/>
    </xf>
    <xf numFmtId="0" fontId="78" fillId="45" borderId="0" applyNumberFormat="0" applyBorder="0" applyAlignment="0" applyProtection="0">
      <alignment vertical="center"/>
    </xf>
    <xf numFmtId="0" fontId="71" fillId="0" borderId="22" applyNumberFormat="0" applyFill="0" applyAlignment="0" applyProtection="0">
      <alignment vertical="center"/>
    </xf>
    <xf numFmtId="0" fontId="78" fillId="44" borderId="0" applyNumberFormat="0" applyBorder="0" applyAlignment="0" applyProtection="0">
      <alignment vertical="center"/>
    </xf>
    <xf numFmtId="0" fontId="88" fillId="20" borderId="27" applyNumberFormat="0" applyAlignment="0" applyProtection="0">
      <alignment vertical="center"/>
    </xf>
    <xf numFmtId="0" fontId="69" fillId="20" borderId="21" applyNumberFormat="0" applyAlignment="0" applyProtection="0">
      <alignment vertical="center"/>
    </xf>
    <xf numFmtId="0" fontId="72" fillId="21" borderId="23" applyNumberFormat="0" applyAlignment="0" applyProtection="0">
      <alignment vertical="center"/>
    </xf>
    <xf numFmtId="0" fontId="75" fillId="24" borderId="0" applyNumberFormat="0" applyBorder="0" applyAlignment="0" applyProtection="0">
      <alignment vertical="center"/>
    </xf>
    <xf numFmtId="0" fontId="78" fillId="31" borderId="0" applyNumberFormat="0" applyBorder="0" applyAlignment="0" applyProtection="0">
      <alignment vertical="center"/>
    </xf>
    <xf numFmtId="0" fontId="89" fillId="0" borderId="28" applyNumberFormat="0" applyFill="0" applyAlignment="0" applyProtection="0">
      <alignment vertical="center"/>
    </xf>
    <xf numFmtId="0" fontId="82" fillId="0" borderId="24" applyNumberFormat="0" applyFill="0" applyAlignment="0" applyProtection="0">
      <alignment vertical="center"/>
    </xf>
    <xf numFmtId="0" fontId="87" fillId="42" borderId="0" applyNumberFormat="0" applyBorder="0" applyAlignment="0" applyProtection="0">
      <alignment vertical="center"/>
    </xf>
    <xf numFmtId="0" fontId="77" fillId="26" borderId="0" applyNumberFormat="0" applyBorder="0" applyAlignment="0" applyProtection="0">
      <alignment vertical="center"/>
    </xf>
    <xf numFmtId="0" fontId="75" fillId="43" borderId="0" applyNumberFormat="0" applyBorder="0" applyAlignment="0" applyProtection="0">
      <alignment vertical="center"/>
    </xf>
    <xf numFmtId="0" fontId="78" fillId="49" borderId="0" applyNumberFormat="0" applyBorder="0" applyAlignment="0" applyProtection="0">
      <alignment vertical="center"/>
    </xf>
    <xf numFmtId="0" fontId="75" fillId="41" borderId="0" applyNumberFormat="0" applyBorder="0" applyAlignment="0" applyProtection="0">
      <alignment vertical="center"/>
    </xf>
    <xf numFmtId="0" fontId="75" fillId="48" borderId="0" applyNumberFormat="0" applyBorder="0" applyAlignment="0" applyProtection="0">
      <alignment vertical="center"/>
    </xf>
    <xf numFmtId="0" fontId="75" fillId="34" borderId="0" applyNumberFormat="0" applyBorder="0" applyAlignment="0" applyProtection="0">
      <alignment vertical="center"/>
    </xf>
    <xf numFmtId="0" fontId="75" fillId="23" borderId="0" applyNumberFormat="0" applyBorder="0" applyAlignment="0" applyProtection="0">
      <alignment vertical="center"/>
    </xf>
    <xf numFmtId="0" fontId="78" fillId="47" borderId="0" applyNumberFormat="0" applyBorder="0" applyAlignment="0" applyProtection="0">
      <alignment vertical="center"/>
    </xf>
    <xf numFmtId="0" fontId="78" fillId="33" borderId="0" applyNumberFormat="0" applyBorder="0" applyAlignment="0" applyProtection="0">
      <alignment vertical="center"/>
    </xf>
    <xf numFmtId="0" fontId="75" fillId="46" borderId="0" applyNumberFormat="0" applyBorder="0" applyAlignment="0" applyProtection="0">
      <alignment vertical="center"/>
    </xf>
    <xf numFmtId="0" fontId="75" fillId="40" borderId="0" applyNumberFormat="0" applyBorder="0" applyAlignment="0" applyProtection="0">
      <alignment vertical="center"/>
    </xf>
    <xf numFmtId="0" fontId="78" fillId="30" borderId="0" applyNumberFormat="0" applyBorder="0" applyAlignment="0" applyProtection="0">
      <alignment vertical="center"/>
    </xf>
    <xf numFmtId="0" fontId="13" fillId="0" borderId="0">
      <alignment vertical="center"/>
    </xf>
    <xf numFmtId="0" fontId="0" fillId="0" borderId="0"/>
    <xf numFmtId="0" fontId="75" fillId="38" borderId="0" applyNumberFormat="0" applyBorder="0" applyAlignment="0" applyProtection="0">
      <alignment vertical="center"/>
    </xf>
    <xf numFmtId="0" fontId="78" fillId="39" borderId="0" applyNumberFormat="0" applyBorder="0" applyAlignment="0" applyProtection="0">
      <alignment vertical="center"/>
    </xf>
    <xf numFmtId="0" fontId="81" fillId="10" borderId="0" applyNumberFormat="0" applyBorder="0" applyAlignment="0" applyProtection="0">
      <alignment vertical="center"/>
    </xf>
    <xf numFmtId="0" fontId="13" fillId="0" borderId="0">
      <alignment vertical="center"/>
    </xf>
    <xf numFmtId="0" fontId="75" fillId="37" borderId="0" applyNumberFormat="0" applyBorder="0" applyAlignment="0" applyProtection="0">
      <alignment vertical="center"/>
    </xf>
    <xf numFmtId="0" fontId="78" fillId="36" borderId="0" applyNumberFormat="0" applyBorder="0" applyAlignment="0" applyProtection="0">
      <alignment vertical="center"/>
    </xf>
    <xf numFmtId="0" fontId="0" fillId="0" borderId="0">
      <alignment vertical="center"/>
    </xf>
    <xf numFmtId="0" fontId="0" fillId="0" borderId="0"/>
    <xf numFmtId="0" fontId="0" fillId="0" borderId="0">
      <alignment vertical="center"/>
    </xf>
    <xf numFmtId="0" fontId="0" fillId="0" borderId="0">
      <alignment vertical="center"/>
    </xf>
    <xf numFmtId="0" fontId="0" fillId="0" borderId="0">
      <alignment vertical="center"/>
    </xf>
    <xf numFmtId="0" fontId="0" fillId="0" borderId="0">
      <alignment vertical="center"/>
    </xf>
  </cellStyleXfs>
  <cellXfs count="263">
    <xf numFmtId="0" fontId="0" fillId="0" borderId="0" xfId="0"/>
    <xf numFmtId="0" fontId="0" fillId="0" borderId="0" xfId="0" applyAlignment="1">
      <alignment wrapText="1"/>
    </xf>
    <xf numFmtId="0" fontId="1" fillId="0" borderId="0" xfId="0" applyFont="1" applyAlignment="1"/>
    <xf numFmtId="0" fontId="2" fillId="2" borderId="0" xfId="0" applyFont="1" applyFill="1" applyAlignment="1">
      <alignment vertical="center"/>
    </xf>
    <xf numFmtId="0" fontId="0" fillId="0" borderId="0" xfId="20" applyAlignment="1">
      <alignment horizontal="center" vertical="center"/>
    </xf>
    <xf numFmtId="0" fontId="0" fillId="0" borderId="0" xfId="20" applyFill="1" applyAlignment="1">
      <alignment horizontal="center" vertical="center"/>
    </xf>
    <xf numFmtId="0" fontId="0" fillId="3" borderId="0" xfId="20" applyFill="1" applyAlignment="1">
      <alignment horizontal="center" vertical="center"/>
    </xf>
    <xf numFmtId="0" fontId="0" fillId="3" borderId="0" xfId="20" applyFill="1" applyAlignment="1">
      <alignment horizontal="center" vertical="center" wrapText="1"/>
    </xf>
    <xf numFmtId="0" fontId="0" fillId="0" borderId="0" xfId="20"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Fill="1" applyAlignment="1">
      <alignment horizontal="center" vertical="center"/>
    </xf>
    <xf numFmtId="0" fontId="0" fillId="0" borderId="0" xfId="0" applyAlignment="1"/>
    <xf numFmtId="0" fontId="3" fillId="0" borderId="0" xfId="0" applyFont="1"/>
    <xf numFmtId="0" fontId="4" fillId="0" borderId="0" xfId="0" applyFont="1"/>
    <xf numFmtId="0" fontId="5" fillId="0" borderId="0" xfId="0" applyFont="1" applyAlignment="1">
      <alignment horizontal="left" vertical="center"/>
    </xf>
    <xf numFmtId="0" fontId="0" fillId="0" borderId="0" xfId="54">
      <alignment vertical="center"/>
    </xf>
    <xf numFmtId="0" fontId="6" fillId="0" borderId="0" xfId="54" applyFont="1" applyBorder="1" applyAlignment="1">
      <alignment vertical="center" wrapText="1"/>
    </xf>
    <xf numFmtId="0" fontId="7" fillId="0" borderId="0" xfId="54" applyFont="1" applyBorder="1">
      <alignment vertical="center"/>
    </xf>
    <xf numFmtId="0" fontId="1" fillId="0" borderId="0" xfId="54" applyFont="1" applyBorder="1" applyAlignment="1">
      <alignment horizontal="center" vertical="center" wrapText="1"/>
    </xf>
    <xf numFmtId="0" fontId="8" fillId="0" borderId="0" xfId="54" applyFont="1" applyBorder="1" applyAlignment="1">
      <alignment vertical="center" wrapText="1"/>
    </xf>
    <xf numFmtId="0" fontId="9" fillId="0" borderId="0" xfId="54" applyFont="1" applyBorder="1" applyAlignment="1">
      <alignment vertical="center" wrapText="1"/>
    </xf>
    <xf numFmtId="0" fontId="1" fillId="0" borderId="0" xfId="54" applyFont="1" applyFill="1" applyBorder="1" applyAlignment="1">
      <alignment horizontal="center" vertical="center" wrapText="1"/>
    </xf>
    <xf numFmtId="0" fontId="10" fillId="4" borderId="1" xfId="0" applyFont="1" applyFill="1" applyBorder="1" applyAlignment="1">
      <alignment horizontal="left" vertical="center" wrapText="1" readingOrder="1"/>
    </xf>
    <xf numFmtId="0" fontId="11" fillId="5" borderId="1" xfId="0" applyFont="1" applyFill="1" applyBorder="1" applyAlignment="1">
      <alignment horizontal="left" vertical="center" wrapText="1" readingOrder="1"/>
    </xf>
    <xf numFmtId="0" fontId="12" fillId="5" borderId="1" xfId="0" applyFont="1" applyFill="1" applyBorder="1" applyAlignment="1">
      <alignment horizontal="left" vertical="center" wrapText="1" readingOrder="1"/>
    </xf>
    <xf numFmtId="0" fontId="13" fillId="0" borderId="0" xfId="0" applyFont="1" applyAlignment="1">
      <alignment vertical="center"/>
    </xf>
    <xf numFmtId="0" fontId="10" fillId="4" borderId="2" xfId="0" applyFont="1" applyFill="1" applyBorder="1" applyAlignment="1">
      <alignment horizontal="left" vertical="center" wrapText="1" readingOrder="1"/>
    </xf>
    <xf numFmtId="0" fontId="11" fillId="6" borderId="2" xfId="0" applyFont="1" applyFill="1" applyBorder="1" applyAlignment="1">
      <alignment horizontal="left" vertical="center" wrapText="1" readingOrder="1"/>
    </xf>
    <xf numFmtId="0" fontId="12" fillId="6" borderId="2" xfId="0" applyFont="1" applyFill="1" applyBorder="1" applyAlignment="1">
      <alignment horizontal="left" vertical="center" wrapText="1" readingOrder="1"/>
    </xf>
    <xf numFmtId="0" fontId="0" fillId="0" borderId="0" xfId="0" applyAlignment="1">
      <alignment vertical="center"/>
    </xf>
    <xf numFmtId="0" fontId="11" fillId="5" borderId="2" xfId="0" applyFont="1" applyFill="1" applyBorder="1" applyAlignment="1">
      <alignment horizontal="left" vertical="center" wrapText="1" readingOrder="1"/>
    </xf>
    <xf numFmtId="0" fontId="12" fillId="5" borderId="2" xfId="0" applyFont="1" applyFill="1" applyBorder="1" applyAlignment="1">
      <alignment horizontal="left" vertical="center" wrapText="1" readingOrder="1"/>
    </xf>
    <xf numFmtId="0" fontId="2" fillId="0" borderId="0" xfId="54" applyFont="1" applyBorder="1" applyAlignment="1">
      <alignment vertical="center" wrapText="1"/>
    </xf>
    <xf numFmtId="0" fontId="14" fillId="0" borderId="0" xfId="54" applyFont="1" applyBorder="1" applyAlignment="1">
      <alignment horizontal="center" vertical="center" wrapText="1"/>
    </xf>
    <xf numFmtId="0" fontId="15" fillId="0" borderId="0" xfId="54" applyFont="1" applyBorder="1" applyAlignment="1">
      <alignment horizontal="center" vertical="center" wrapText="1"/>
    </xf>
    <xf numFmtId="0" fontId="2" fillId="0" borderId="0" xfId="54" applyFont="1" applyBorder="1" applyAlignment="1">
      <alignment horizontal="center" vertical="center" wrapText="1"/>
    </xf>
    <xf numFmtId="0" fontId="16" fillId="0" borderId="0" xfId="54" applyFont="1" applyBorder="1" applyAlignment="1">
      <alignment horizontal="center" vertical="center" wrapText="1"/>
    </xf>
    <xf numFmtId="0" fontId="17" fillId="0" borderId="0" xfId="54" applyFont="1" applyBorder="1">
      <alignment vertical="center"/>
    </xf>
    <xf numFmtId="0" fontId="0" fillId="0" borderId="0" xfId="20">
      <alignment vertical="center"/>
    </xf>
    <xf numFmtId="0" fontId="18" fillId="0" borderId="0" xfId="20" applyFont="1">
      <alignment vertical="center"/>
    </xf>
    <xf numFmtId="0" fontId="19" fillId="0" borderId="0" xfId="0" applyFont="1" applyAlignment="1"/>
    <xf numFmtId="0" fontId="20" fillId="0" borderId="0" xfId="54" applyFont="1" applyBorder="1" applyAlignment="1">
      <alignment horizontal="center" vertical="center" wrapText="1"/>
    </xf>
    <xf numFmtId="0" fontId="21" fillId="0" borderId="0" xfId="54" applyFont="1" applyBorder="1" applyAlignment="1">
      <alignment horizontal="center" vertical="center" wrapText="1"/>
    </xf>
    <xf numFmtId="49" fontId="15" fillId="0" borderId="0" xfId="54" applyNumberFormat="1" applyFont="1" applyBorder="1" applyAlignment="1">
      <alignment horizontal="center" vertical="center" wrapText="1"/>
    </xf>
    <xf numFmtId="0" fontId="22" fillId="0" borderId="0" xfId="54" applyFont="1" applyBorder="1" applyAlignment="1">
      <alignment horizontal="center" vertical="center" wrapText="1"/>
    </xf>
    <xf numFmtId="0" fontId="17" fillId="0" borderId="0" xfId="54" applyFont="1" applyBorder="1" applyAlignment="1">
      <alignment horizontal="center" vertical="center" wrapText="1"/>
    </xf>
    <xf numFmtId="0" fontId="23" fillId="0" borderId="0" xfId="54" applyFont="1" applyAlignment="1">
      <alignment horizontal="center" vertical="center"/>
    </xf>
    <xf numFmtId="0" fontId="23" fillId="0" borderId="0" xfId="54" applyFont="1" applyBorder="1" applyAlignment="1">
      <alignment horizontal="center" vertical="center" wrapText="1"/>
    </xf>
    <xf numFmtId="0" fontId="7" fillId="0" borderId="0" xfId="54" applyFont="1">
      <alignment vertical="center"/>
    </xf>
    <xf numFmtId="0" fontId="0" fillId="0" borderId="0" xfId="56" applyAlignment="1"/>
    <xf numFmtId="0" fontId="24" fillId="0" borderId="0" xfId="56" applyFont="1" applyAlignment="1">
      <alignment horizontal="center" vertical="center" wrapText="1"/>
    </xf>
    <xf numFmtId="0" fontId="25" fillId="0" borderId="0" xfId="56" applyFont="1" applyBorder="1" applyAlignment="1">
      <alignment horizontal="center" vertical="center" wrapText="1"/>
    </xf>
    <xf numFmtId="0" fontId="25" fillId="0" borderId="3" xfId="56" applyFont="1" applyBorder="1" applyAlignment="1">
      <alignment horizontal="center" vertical="center" wrapText="1"/>
    </xf>
    <xf numFmtId="0" fontId="26" fillId="0" borderId="0" xfId="0" applyFont="1" applyAlignment="1">
      <alignment horizontal="center" vertical="center" wrapText="1"/>
    </xf>
    <xf numFmtId="0" fontId="27" fillId="0" borderId="0" xfId="0" applyFont="1" applyBorder="1" applyAlignment="1">
      <alignment horizontal="center" vertical="center" wrapText="1"/>
    </xf>
    <xf numFmtId="0" fontId="26" fillId="0" borderId="0" xfId="0" applyFont="1" applyBorder="1" applyAlignment="1">
      <alignment horizontal="center" vertical="center" wrapText="1"/>
    </xf>
    <xf numFmtId="0" fontId="26" fillId="0" borderId="3" xfId="0" applyFont="1" applyBorder="1" applyAlignment="1">
      <alignment horizontal="center" vertical="center" wrapText="1"/>
    </xf>
    <xf numFmtId="0" fontId="28" fillId="0" borderId="0" xfId="59" applyFont="1">
      <alignment vertical="center"/>
    </xf>
    <xf numFmtId="0" fontId="0" fillId="0" borderId="0" xfId="59">
      <alignment vertical="center"/>
    </xf>
    <xf numFmtId="0" fontId="6" fillId="0" borderId="0" xfId="59" applyFont="1" applyAlignment="1">
      <alignment horizontal="left" vertical="center"/>
    </xf>
    <xf numFmtId="0" fontId="0" fillId="0" borderId="0" xfId="59" applyFont="1">
      <alignment vertical="center"/>
    </xf>
    <xf numFmtId="0" fontId="9" fillId="0" borderId="0" xfId="59" applyFont="1" applyAlignment="1">
      <alignment horizontal="left" vertical="center"/>
    </xf>
    <xf numFmtId="0" fontId="28" fillId="0" borderId="0" xfId="59" applyFont="1" applyAlignment="1">
      <alignment horizontal="center" vertical="center"/>
    </xf>
    <xf numFmtId="177" fontId="28" fillId="0" borderId="0" xfId="59" applyNumberFormat="1" applyFont="1" applyAlignment="1">
      <alignment horizontal="center" vertical="center"/>
    </xf>
    <xf numFmtId="0" fontId="9" fillId="0" borderId="0" xfId="59" applyFont="1" applyAlignment="1">
      <alignment vertical="center"/>
    </xf>
    <xf numFmtId="0" fontId="9" fillId="0" borderId="0" xfId="59" applyFont="1" applyAlignment="1">
      <alignment horizontal="left" vertical="center" wrapText="1"/>
    </xf>
    <xf numFmtId="0" fontId="9" fillId="0" borderId="0" xfId="59" applyFont="1" applyAlignment="1">
      <alignment vertical="center" wrapText="1"/>
    </xf>
    <xf numFmtId="0" fontId="6" fillId="0" borderId="0" xfId="59" applyFont="1" applyAlignment="1">
      <alignment horizontal="left" vertical="center" wrapText="1"/>
    </xf>
    <xf numFmtId="0" fontId="29" fillId="0" borderId="0" xfId="59" applyFont="1" applyAlignment="1">
      <alignment horizontal="left" vertical="center"/>
    </xf>
    <xf numFmtId="0" fontId="30" fillId="0" borderId="0" xfId="13" applyFont="1" applyAlignment="1">
      <alignment horizontal="center" vertical="center"/>
    </xf>
    <xf numFmtId="0" fontId="13" fillId="0" borderId="0" xfId="13" applyAlignment="1">
      <alignment horizontal="center" vertical="center"/>
    </xf>
    <xf numFmtId="10" fontId="30" fillId="0" borderId="0" xfId="13" applyNumberFormat="1" applyFont="1" applyAlignment="1">
      <alignment horizontal="center" vertical="center"/>
    </xf>
    <xf numFmtId="0" fontId="31" fillId="0" borderId="0" xfId="13" applyFont="1" applyAlignment="1">
      <alignment horizontal="center" vertical="center"/>
    </xf>
    <xf numFmtId="9" fontId="13" fillId="0" borderId="0" xfId="13" applyNumberFormat="1" applyAlignment="1">
      <alignment horizontal="center" vertical="center"/>
    </xf>
    <xf numFmtId="0" fontId="32" fillId="0" borderId="0" xfId="13" applyFont="1" applyAlignment="1">
      <alignment horizontal="center" vertical="center"/>
    </xf>
    <xf numFmtId="0" fontId="13" fillId="0" borderId="0" xfId="13" applyFont="1" applyAlignment="1">
      <alignment horizontal="center" vertical="center"/>
    </xf>
    <xf numFmtId="0" fontId="33" fillId="0" borderId="0" xfId="13" applyFont="1" applyAlignment="1">
      <alignment horizontal="center" vertical="center"/>
    </xf>
    <xf numFmtId="0" fontId="34" fillId="0" borderId="0" xfId="13" applyFont="1" applyAlignment="1">
      <alignment horizontal="center" vertical="center"/>
    </xf>
    <xf numFmtId="0" fontId="32" fillId="0" borderId="0" xfId="13" applyFont="1" applyAlignment="1">
      <alignment horizontal="center" vertical="center" wrapText="1"/>
    </xf>
    <xf numFmtId="0" fontId="35" fillId="0" borderId="0" xfId="13" applyFont="1" applyAlignment="1">
      <alignment horizontal="center" vertical="center"/>
    </xf>
    <xf numFmtId="0" fontId="36" fillId="0" borderId="0" xfId="58" applyFont="1" applyAlignment="1">
      <alignment horizontal="center" vertical="center"/>
    </xf>
    <xf numFmtId="0" fontId="37" fillId="0" borderId="0" xfId="0" applyFont="1" applyAlignment="1">
      <alignment horizontal="left" vertical="center"/>
    </xf>
    <xf numFmtId="0" fontId="36" fillId="0" borderId="0" xfId="55" applyFont="1" applyAlignment="1">
      <alignment horizontal="center" vertical="center"/>
    </xf>
    <xf numFmtId="0" fontId="38" fillId="0" borderId="0" xfId="55" applyFont="1" applyAlignment="1">
      <alignment horizontal="center" vertical="center"/>
    </xf>
    <xf numFmtId="0" fontId="37" fillId="0" borderId="0" xfId="58" applyFont="1" applyAlignment="1">
      <alignment horizontal="left" vertical="center"/>
    </xf>
    <xf numFmtId="0" fontId="39" fillId="3" borderId="0" xfId="0" applyFont="1" applyFill="1" applyAlignment="1">
      <alignment horizontal="left" vertical="center"/>
    </xf>
    <xf numFmtId="0" fontId="40" fillId="0" borderId="0" xfId="58" applyFont="1" applyAlignment="1">
      <alignment horizontal="left" vertical="center"/>
    </xf>
    <xf numFmtId="0" fontId="41" fillId="0" borderId="0" xfId="58" applyFont="1" applyAlignment="1">
      <alignment horizontal="left" vertical="center"/>
    </xf>
    <xf numFmtId="9" fontId="37" fillId="0" borderId="0" xfId="58" applyNumberFormat="1" applyFont="1" applyAlignment="1">
      <alignment horizontal="left" vertical="center"/>
    </xf>
    <xf numFmtId="0" fontId="6" fillId="0" borderId="0" xfId="58" applyFont="1" applyAlignment="1">
      <alignment horizontal="left" vertical="center"/>
    </xf>
    <xf numFmtId="0" fontId="42" fillId="0" borderId="0" xfId="58" applyFont="1" applyAlignment="1">
      <alignment horizontal="left" vertical="center"/>
    </xf>
    <xf numFmtId="0" fontId="43" fillId="0" borderId="0" xfId="58" applyFont="1" applyAlignment="1">
      <alignment horizontal="left" vertical="center"/>
    </xf>
    <xf numFmtId="0" fontId="9" fillId="0" borderId="0" xfId="58" applyFont="1" applyAlignment="1">
      <alignment horizontal="left" vertical="center"/>
    </xf>
    <xf numFmtId="10" fontId="6" fillId="0" borderId="0" xfId="58" applyNumberFormat="1" applyFont="1" applyAlignment="1">
      <alignment horizontal="left" vertical="center"/>
    </xf>
    <xf numFmtId="9" fontId="9" fillId="0" borderId="0" xfId="58" applyNumberFormat="1" applyFont="1" applyAlignment="1">
      <alignment horizontal="left" vertical="center"/>
    </xf>
    <xf numFmtId="0" fontId="44" fillId="0" borderId="0" xfId="58" applyFont="1" applyAlignment="1">
      <alignment horizontal="left" vertical="center"/>
    </xf>
    <xf numFmtId="10" fontId="37" fillId="0" borderId="0" xfId="58" applyNumberFormat="1" applyFont="1" applyAlignment="1">
      <alignment horizontal="left" vertical="center"/>
    </xf>
    <xf numFmtId="0" fontId="41" fillId="0" borderId="0" xfId="58" applyFont="1" applyAlignment="1">
      <alignment vertical="center"/>
    </xf>
    <xf numFmtId="9" fontId="41" fillId="0" borderId="0" xfId="58" applyNumberFormat="1" applyFont="1" applyAlignment="1">
      <alignment horizontal="left" vertical="center"/>
    </xf>
    <xf numFmtId="0" fontId="41" fillId="0" borderId="0" xfId="0" applyFont="1" applyAlignment="1">
      <alignment horizontal="left" vertical="center"/>
    </xf>
    <xf numFmtId="0" fontId="43" fillId="0" borderId="0" xfId="0" applyFont="1" applyAlignment="1">
      <alignment horizontal="left" vertical="center"/>
    </xf>
    <xf numFmtId="10" fontId="37" fillId="0" borderId="0" xfId="0" applyNumberFormat="1" applyFont="1" applyAlignment="1">
      <alignment horizontal="left" vertical="center"/>
    </xf>
    <xf numFmtId="9" fontId="41" fillId="0" borderId="0" xfId="0" applyNumberFormat="1" applyFont="1" applyAlignment="1">
      <alignment horizontal="left" vertical="center"/>
    </xf>
    <xf numFmtId="0" fontId="45" fillId="0" borderId="0" xfId="58" applyFont="1" applyAlignment="1">
      <alignment horizontal="left" vertical="center"/>
    </xf>
    <xf numFmtId="0" fontId="37" fillId="0" borderId="0" xfId="58" applyFont="1" applyFill="1" applyAlignment="1">
      <alignment horizontal="left" vertical="center"/>
    </xf>
    <xf numFmtId="0" fontId="40" fillId="0" borderId="0" xfId="58" applyFont="1" applyAlignment="1">
      <alignment vertical="center"/>
    </xf>
    <xf numFmtId="178" fontId="37" fillId="0" borderId="0" xfId="58" applyNumberFormat="1" applyFont="1" applyAlignment="1">
      <alignment horizontal="left" vertical="center"/>
    </xf>
    <xf numFmtId="0" fontId="46" fillId="0" borderId="0" xfId="58" applyFont="1" applyAlignment="1">
      <alignment horizontal="left" vertical="center"/>
    </xf>
    <xf numFmtId="0" fontId="8" fillId="0" borderId="0" xfId="58" applyFont="1" applyAlignment="1">
      <alignment horizontal="left" vertical="center"/>
    </xf>
    <xf numFmtId="9" fontId="8" fillId="0" borderId="0" xfId="58" applyNumberFormat="1" applyFont="1" applyAlignment="1">
      <alignment horizontal="left" vertical="center"/>
    </xf>
    <xf numFmtId="179" fontId="37" fillId="0" borderId="0" xfId="58" applyNumberFormat="1" applyFont="1" applyAlignment="1">
      <alignment horizontal="left" vertical="center"/>
    </xf>
    <xf numFmtId="0" fontId="39" fillId="0" borderId="0" xfId="58" applyFont="1" applyAlignment="1">
      <alignment horizontal="left" vertical="center"/>
    </xf>
    <xf numFmtId="10" fontId="8" fillId="0" borderId="0" xfId="58" applyNumberFormat="1" applyFont="1" applyAlignment="1">
      <alignment horizontal="left" vertical="center"/>
    </xf>
    <xf numFmtId="0" fontId="47" fillId="0" borderId="0" xfId="58" applyFont="1" applyAlignment="1">
      <alignment horizontal="left" vertical="center"/>
    </xf>
    <xf numFmtId="0" fontId="18" fillId="0" borderId="0" xfId="58" applyFont="1" applyAlignment="1">
      <alignment horizontal="left" vertical="center"/>
    </xf>
    <xf numFmtId="9" fontId="37" fillId="0" borderId="0" xfId="0" applyNumberFormat="1" applyFont="1" applyAlignment="1">
      <alignment horizontal="left" vertical="center"/>
    </xf>
    <xf numFmtId="0" fontId="37" fillId="0" borderId="0" xfId="58" applyFont="1" applyAlignment="1">
      <alignment vertical="center"/>
    </xf>
    <xf numFmtId="0" fontId="0" fillId="0" borderId="0" xfId="58">
      <alignment vertical="center"/>
    </xf>
    <xf numFmtId="0" fontId="0" fillId="0" borderId="0" xfId="58" applyAlignment="1">
      <alignment vertical="center"/>
    </xf>
    <xf numFmtId="0" fontId="33" fillId="0" borderId="0" xfId="55" applyFont="1"/>
    <xf numFmtId="0" fontId="33" fillId="0" borderId="0" xfId="55" applyFont="1" applyAlignment="1"/>
    <xf numFmtId="0" fontId="0" fillId="0" borderId="0" xfId="55"/>
    <xf numFmtId="0" fontId="0" fillId="0" borderId="0" xfId="55" applyAlignment="1"/>
    <xf numFmtId="0" fontId="13" fillId="0" borderId="0" xfId="13" applyAlignment="1">
      <alignment horizontal="left" vertical="center"/>
    </xf>
    <xf numFmtId="0" fontId="13" fillId="0" borderId="0" xfId="13" applyAlignment="1">
      <alignment vertical="center"/>
    </xf>
    <xf numFmtId="10" fontId="30" fillId="0" borderId="0" xfId="13" applyNumberFormat="1" applyFont="1" applyAlignment="1">
      <alignment vertical="center"/>
    </xf>
    <xf numFmtId="0" fontId="32" fillId="0" borderId="0" xfId="13" applyFont="1" applyAlignment="1">
      <alignment vertical="center"/>
    </xf>
    <xf numFmtId="0" fontId="8" fillId="0" borderId="0" xfId="58" applyFont="1" applyAlignment="1">
      <alignment vertical="center"/>
    </xf>
    <xf numFmtId="179" fontId="37" fillId="0" borderId="0" xfId="58" applyNumberFormat="1" applyFont="1" applyAlignment="1">
      <alignment vertical="center"/>
    </xf>
    <xf numFmtId="9" fontId="37" fillId="0" borderId="0" xfId="58" applyNumberFormat="1" applyFont="1" applyAlignment="1">
      <alignment vertical="center"/>
    </xf>
    <xf numFmtId="0" fontId="38" fillId="0" borderId="0" xfId="58" applyFont="1" applyAlignment="1">
      <alignment horizontal="center" vertical="center"/>
    </xf>
    <xf numFmtId="0" fontId="33" fillId="0" borderId="0" xfId="47" applyFont="1" applyAlignment="1">
      <alignment vertical="center"/>
    </xf>
    <xf numFmtId="0" fontId="0" fillId="0" borderId="0" xfId="0" applyBorder="1" applyAlignment="1">
      <alignment horizontal="center" vertical="center" wrapText="1"/>
    </xf>
    <xf numFmtId="0" fontId="48" fillId="7" borderId="0" xfId="0" applyFont="1" applyFill="1" applyBorder="1" applyAlignment="1">
      <alignment horizontal="center" vertical="center" wrapText="1"/>
    </xf>
    <xf numFmtId="0" fontId="49" fillId="0" borderId="0" xfId="0" applyFont="1" applyBorder="1" applyAlignment="1">
      <alignment horizontal="center" vertical="center" wrapText="1"/>
    </xf>
    <xf numFmtId="0" fontId="50" fillId="0" borderId="0" xfId="0" applyFont="1" applyBorder="1" applyAlignment="1">
      <alignment horizontal="center" vertical="center" wrapText="1"/>
    </xf>
    <xf numFmtId="0" fontId="51" fillId="0" borderId="0" xfId="0" applyFont="1" applyBorder="1" applyAlignment="1">
      <alignment horizontal="center" vertical="center" wrapText="1"/>
    </xf>
    <xf numFmtId="0" fontId="52" fillId="0" borderId="0" xfId="0" applyFont="1" applyBorder="1" applyAlignment="1">
      <alignment horizontal="center" vertical="center" wrapText="1"/>
    </xf>
    <xf numFmtId="0" fontId="53" fillId="0" borderId="0" xfId="0" applyFont="1" applyBorder="1" applyAlignment="1">
      <alignment horizontal="center" vertical="center" wrapText="1"/>
    </xf>
    <xf numFmtId="0" fontId="54" fillId="0" borderId="0" xfId="0" applyFont="1" applyBorder="1" applyAlignment="1">
      <alignment horizontal="center" vertical="center" wrapText="1"/>
    </xf>
    <xf numFmtId="0" fontId="6" fillId="0" borderId="4" xfId="0" applyFont="1" applyFill="1" applyBorder="1" applyAlignment="1">
      <alignment horizontal="center" vertical="center" wrapText="1"/>
    </xf>
    <xf numFmtId="0" fontId="6" fillId="0" borderId="5" xfId="0" applyFont="1" applyFill="1" applyBorder="1" applyAlignment="1">
      <alignment horizontal="center" vertical="center" wrapText="1"/>
    </xf>
    <xf numFmtId="0" fontId="9" fillId="0" borderId="6" xfId="0" applyFont="1" applyFill="1" applyBorder="1" applyAlignment="1">
      <alignment horizontal="center" vertical="center" wrapText="1"/>
    </xf>
    <xf numFmtId="0" fontId="9" fillId="0" borderId="4" xfId="0" applyFont="1" applyFill="1" applyBorder="1" applyAlignment="1">
      <alignment horizontal="center" vertical="center" wrapText="1"/>
    </xf>
    <xf numFmtId="0" fontId="9" fillId="0" borderId="7" xfId="0" applyFont="1" applyFill="1" applyBorder="1" applyAlignment="1">
      <alignment horizontal="center" vertical="center" wrapText="1"/>
    </xf>
    <xf numFmtId="0" fontId="6" fillId="0" borderId="7" xfId="0" applyFont="1" applyFill="1" applyBorder="1" applyAlignment="1">
      <alignment horizontal="center" vertical="center" wrapText="1"/>
    </xf>
    <xf numFmtId="0" fontId="55" fillId="0" borderId="0" xfId="0" applyFont="1" applyAlignment="1">
      <alignment horizontal="center" vertical="center" wrapText="1"/>
    </xf>
    <xf numFmtId="0" fontId="45" fillId="0" borderId="5" xfId="0" applyFont="1" applyBorder="1" applyAlignment="1">
      <alignment horizontal="center" vertical="center" wrapText="1"/>
    </xf>
    <xf numFmtId="0" fontId="45" fillId="0" borderId="4" xfId="0" applyFont="1" applyBorder="1" applyAlignment="1">
      <alignment horizontal="center" vertical="center" wrapText="1"/>
    </xf>
    <xf numFmtId="0" fontId="41" fillId="0" borderId="8" xfId="0" applyFont="1" applyBorder="1" applyAlignment="1">
      <alignment horizontal="center" vertical="center" wrapText="1"/>
    </xf>
    <xf numFmtId="0" fontId="41" fillId="0" borderId="7" xfId="0" applyFont="1" applyBorder="1" applyAlignment="1">
      <alignment horizontal="center" vertical="center" wrapText="1"/>
    </xf>
    <xf numFmtId="0" fontId="37" fillId="0" borderId="7" xfId="0" applyFont="1" applyBorder="1" applyAlignment="1">
      <alignment horizontal="center" vertical="center" wrapText="1"/>
    </xf>
    <xf numFmtId="0" fontId="41" fillId="0" borderId="9" xfId="0" applyFont="1" applyBorder="1" applyAlignment="1">
      <alignment horizontal="center" vertical="center" wrapText="1"/>
    </xf>
    <xf numFmtId="0" fontId="41" fillId="0" borderId="6" xfId="0" applyFont="1" applyBorder="1" applyAlignment="1">
      <alignment horizontal="center" vertical="center" wrapText="1"/>
    </xf>
    <xf numFmtId="0" fontId="41" fillId="0" borderId="10" xfId="0" applyFont="1" applyBorder="1" applyAlignment="1">
      <alignment horizontal="center" vertical="center" wrapText="1"/>
    </xf>
    <xf numFmtId="0" fontId="41" fillId="0" borderId="4" xfId="0" applyFont="1" applyBorder="1" applyAlignment="1">
      <alignment horizontal="center" vertical="center" wrapText="1"/>
    </xf>
    <xf numFmtId="0" fontId="37" fillId="0" borderId="5" xfId="0" applyFont="1" applyBorder="1" applyAlignment="1">
      <alignment horizontal="center" vertical="center" wrapText="1"/>
    </xf>
    <xf numFmtId="0" fontId="37" fillId="0" borderId="6" xfId="0" applyFont="1" applyBorder="1" applyAlignment="1">
      <alignment horizontal="center" vertical="center" wrapText="1"/>
    </xf>
    <xf numFmtId="0" fontId="41" fillId="0" borderId="11" xfId="0" applyFont="1" applyBorder="1" applyAlignment="1">
      <alignment horizontal="center" vertical="center" wrapText="1"/>
    </xf>
    <xf numFmtId="0" fontId="41" fillId="0" borderId="12" xfId="0" applyFont="1" applyBorder="1" applyAlignment="1">
      <alignment horizontal="center" vertical="center"/>
    </xf>
    <xf numFmtId="0" fontId="46" fillId="0" borderId="12" xfId="0" applyFont="1" applyBorder="1" applyAlignment="1">
      <alignment horizontal="justify" vertical="center" wrapText="1"/>
    </xf>
    <xf numFmtId="0" fontId="56" fillId="0" borderId="12" xfId="0" applyFont="1" applyBorder="1" applyAlignment="1">
      <alignment horizontal="center" vertical="center"/>
    </xf>
    <xf numFmtId="176" fontId="56" fillId="0" borderId="12" xfId="0" applyNumberFormat="1" applyFont="1" applyBorder="1" applyAlignment="1">
      <alignment horizontal="center" vertical="center" wrapText="1"/>
    </xf>
    <xf numFmtId="0" fontId="46" fillId="0" borderId="12" xfId="0" applyFont="1" applyBorder="1" applyAlignment="1">
      <alignment horizontal="center" vertical="center" wrapText="1"/>
    </xf>
    <xf numFmtId="0" fontId="57" fillId="0" borderId="0" xfId="0" applyFont="1"/>
    <xf numFmtId="0" fontId="41" fillId="0" borderId="12" xfId="0" applyFont="1" applyBorder="1" applyAlignment="1">
      <alignment horizontal="justify" vertical="center" wrapText="1"/>
    </xf>
    <xf numFmtId="0" fontId="41" fillId="0" borderId="12" xfId="13" applyFont="1" applyBorder="1" applyAlignment="1">
      <alignment horizontal="center" vertical="center"/>
    </xf>
    <xf numFmtId="176" fontId="56" fillId="0" borderId="12" xfId="55" applyNumberFormat="1" applyFont="1" applyBorder="1" applyAlignment="1">
      <alignment horizontal="center" vertical="center" wrapText="1"/>
    </xf>
    <xf numFmtId="0" fontId="56" fillId="0" borderId="0" xfId="55" applyFont="1" applyAlignment="1">
      <alignment horizontal="center" vertical="center"/>
    </xf>
    <xf numFmtId="176" fontId="41" fillId="0" borderId="12" xfId="0" applyNumberFormat="1" applyFont="1" applyBorder="1" applyAlignment="1">
      <alignment horizontal="center" vertical="center" wrapText="1"/>
    </xf>
    <xf numFmtId="176" fontId="58" fillId="0" borderId="12" xfId="0" applyNumberFormat="1" applyFont="1" applyBorder="1" applyAlignment="1">
      <alignment horizontal="center" vertical="center" wrapText="1"/>
    </xf>
    <xf numFmtId="176" fontId="50" fillId="0" borderId="12" xfId="0" applyNumberFormat="1" applyFont="1" applyBorder="1" applyAlignment="1">
      <alignment horizontal="center" vertical="center" wrapText="1"/>
    </xf>
    <xf numFmtId="176" fontId="52" fillId="0" borderId="12" xfId="0" applyNumberFormat="1" applyFont="1" applyBorder="1" applyAlignment="1">
      <alignment horizontal="center" vertical="center" wrapText="1"/>
    </xf>
    <xf numFmtId="176" fontId="52" fillId="0" borderId="0" xfId="0" applyNumberFormat="1" applyFont="1" applyAlignment="1">
      <alignment horizontal="center" vertical="center" wrapText="1"/>
    </xf>
    <xf numFmtId="176" fontId="59" fillId="0" borderId="0" xfId="55" applyNumberFormat="1" applyFont="1" applyAlignment="1">
      <alignment horizontal="center" vertical="center" wrapText="1"/>
    </xf>
    <xf numFmtId="0" fontId="56" fillId="0" borderId="0" xfId="0" applyFont="1" applyAlignment="1">
      <alignment horizontal="center" vertical="center"/>
    </xf>
    <xf numFmtId="176" fontId="59" fillId="0" borderId="0" xfId="0" applyNumberFormat="1" applyFont="1" applyAlignment="1">
      <alignment horizontal="center" vertical="center" wrapText="1"/>
    </xf>
    <xf numFmtId="0" fontId="41" fillId="0" borderId="13" xfId="0" applyFont="1" applyFill="1" applyBorder="1" applyAlignment="1">
      <alignment horizontal="center" vertical="center"/>
    </xf>
    <xf numFmtId="0" fontId="41" fillId="0" borderId="12" xfId="0" applyFont="1" applyBorder="1"/>
    <xf numFmtId="0" fontId="41" fillId="0" borderId="0" xfId="0" applyFont="1"/>
    <xf numFmtId="0" fontId="41" fillId="0" borderId="12" xfId="0" applyFont="1" applyBorder="1" applyAlignment="1"/>
    <xf numFmtId="0" fontId="41" fillId="0" borderId="0" xfId="0" applyFont="1" applyAlignment="1">
      <alignment horizontal="center" vertical="center"/>
    </xf>
    <xf numFmtId="0" fontId="58" fillId="0" borderId="0" xfId="0" applyFont="1" applyAlignment="1">
      <alignment horizontal="center" vertical="center"/>
    </xf>
    <xf numFmtId="0" fontId="52" fillId="0" borderId="0" xfId="0" applyFont="1" applyAlignment="1">
      <alignment horizontal="center" vertical="center"/>
    </xf>
    <xf numFmtId="0" fontId="0" fillId="0" borderId="0" xfId="55" applyAlignment="1">
      <alignment vertical="center"/>
    </xf>
    <xf numFmtId="0" fontId="42" fillId="0" borderId="12" xfId="0" applyFont="1" applyFill="1" applyBorder="1" applyAlignment="1">
      <alignment horizontal="justify" vertical="center" wrapText="1"/>
    </xf>
    <xf numFmtId="0" fontId="42" fillId="0" borderId="12" xfId="0" applyFont="1" applyFill="1" applyBorder="1" applyAlignment="1">
      <alignment horizontal="center" vertical="center" wrapText="1"/>
    </xf>
    <xf numFmtId="0" fontId="6" fillId="0" borderId="12" xfId="0" applyFont="1" applyFill="1" applyBorder="1" applyAlignment="1">
      <alignment horizontal="justify" vertical="center" wrapText="1"/>
    </xf>
    <xf numFmtId="0" fontId="6" fillId="0" borderId="12" xfId="0" applyFont="1" applyFill="1" applyBorder="1" applyAlignment="1">
      <alignment vertical="center" wrapText="1"/>
    </xf>
    <xf numFmtId="0" fontId="33" fillId="0" borderId="0" xfId="0" applyFont="1"/>
    <xf numFmtId="0" fontId="0" fillId="0" borderId="0" xfId="0" applyAlignment="1">
      <alignment horizontal="center"/>
    </xf>
    <xf numFmtId="0" fontId="41" fillId="0" borderId="0" xfId="0" applyFont="1" applyBorder="1" applyAlignment="1">
      <alignment horizontal="center" vertical="center" wrapText="1"/>
    </xf>
    <xf numFmtId="0" fontId="41" fillId="8" borderId="0" xfId="0" applyFont="1" applyFill="1" applyBorder="1" applyAlignment="1">
      <alignment horizontal="center" vertical="center" wrapText="1"/>
    </xf>
    <xf numFmtId="0" fontId="41" fillId="3" borderId="0" xfId="0" applyFont="1" applyFill="1" applyBorder="1" applyAlignment="1">
      <alignment horizontal="center" vertical="center" wrapText="1"/>
    </xf>
    <xf numFmtId="0" fontId="41" fillId="8" borderId="14" xfId="0" applyFont="1" applyFill="1" applyBorder="1" applyAlignment="1">
      <alignment horizontal="center" vertical="center" wrapText="1"/>
    </xf>
    <xf numFmtId="0" fontId="60" fillId="0" borderId="0" xfId="0" applyFont="1" applyBorder="1" applyAlignment="1">
      <alignment horizontal="center" vertical="center" wrapText="1"/>
    </xf>
    <xf numFmtId="0" fontId="41" fillId="3" borderId="14" xfId="0" applyFont="1" applyFill="1" applyBorder="1" applyAlignment="1">
      <alignment horizontal="center" vertical="center" wrapText="1"/>
    </xf>
    <xf numFmtId="0" fontId="41" fillId="9" borderId="14" xfId="0" applyFont="1" applyFill="1" applyBorder="1" applyAlignment="1">
      <alignment horizontal="center" vertical="center" wrapText="1"/>
    </xf>
    <xf numFmtId="0" fontId="61" fillId="0" borderId="0" xfId="0" applyFont="1" applyAlignment="1">
      <alignment horizontal="center" vertical="center"/>
    </xf>
    <xf numFmtId="0" fontId="61" fillId="9" borderId="0" xfId="0" applyFont="1" applyFill="1" applyBorder="1" applyAlignment="1">
      <alignment horizontal="center" vertical="center" wrapText="1"/>
    </xf>
    <xf numFmtId="0" fontId="61" fillId="3" borderId="0" xfId="0" applyNumberFormat="1" applyFont="1" applyFill="1" applyAlignment="1">
      <alignment horizontal="center" wrapText="1"/>
    </xf>
    <xf numFmtId="0" fontId="62" fillId="0" borderId="0" xfId="0" applyFont="1" applyAlignment="1">
      <alignment horizontal="center" vertical="center"/>
    </xf>
    <xf numFmtId="0" fontId="37" fillId="0" borderId="0" xfId="0" applyFont="1" applyAlignment="1">
      <alignment horizontal="center" vertical="center"/>
    </xf>
    <xf numFmtId="0" fontId="0" fillId="0" borderId="0" xfId="0" applyAlignment="1">
      <alignment vertical="center" wrapText="1"/>
    </xf>
    <xf numFmtId="0" fontId="39" fillId="0" borderId="0" xfId="0" applyFont="1" applyAlignment="1">
      <alignment horizontal="center" vertical="center"/>
    </xf>
    <xf numFmtId="0" fontId="18" fillId="0" borderId="5" xfId="0" applyFont="1" applyBorder="1" applyAlignment="1">
      <alignment horizontal="center" vertical="center" wrapText="1"/>
    </xf>
    <xf numFmtId="0" fontId="36" fillId="0" borderId="0" xfId="0" applyFont="1"/>
    <xf numFmtId="0" fontId="41" fillId="0" borderId="5" xfId="0" applyFont="1" applyBorder="1"/>
    <xf numFmtId="0" fontId="63" fillId="10" borderId="15" xfId="50" applyFont="1" applyBorder="1" applyAlignment="1">
      <alignment horizontal="center"/>
    </xf>
    <xf numFmtId="0" fontId="18" fillId="0" borderId="0" xfId="0" applyFont="1" applyAlignment="1">
      <alignment horizontal="center" vertical="center"/>
    </xf>
    <xf numFmtId="0" fontId="18" fillId="0" borderId="0" xfId="0" applyFont="1" applyAlignment="1">
      <alignment horizontal="center" vertical="center" wrapText="1"/>
    </xf>
    <xf numFmtId="0" fontId="63" fillId="10" borderId="16" xfId="50" applyFont="1" applyBorder="1" applyAlignment="1">
      <alignment wrapText="1" readingOrder="1"/>
    </xf>
    <xf numFmtId="0" fontId="63" fillId="10" borderId="1" xfId="50" applyFont="1" applyBorder="1" applyAlignment="1">
      <alignment wrapText="1" readingOrder="1"/>
    </xf>
    <xf numFmtId="0" fontId="6" fillId="11" borderId="5" xfId="0" applyFont="1" applyFill="1" applyBorder="1" applyAlignment="1">
      <alignment horizontal="center" vertical="center" wrapText="1"/>
    </xf>
    <xf numFmtId="0" fontId="63" fillId="10" borderId="2" xfId="50" applyFont="1" applyBorder="1" applyAlignment="1">
      <alignment wrapText="1" readingOrder="1"/>
    </xf>
    <xf numFmtId="49" fontId="46" fillId="0" borderId="0" xfId="0" applyNumberFormat="1" applyFont="1" applyAlignment="1">
      <alignment horizontal="center" vertical="center" wrapText="1"/>
    </xf>
    <xf numFmtId="0" fontId="18" fillId="0" borderId="0" xfId="0" applyFont="1" applyBorder="1" applyAlignment="1">
      <alignment horizontal="center" vertical="center"/>
    </xf>
    <xf numFmtId="0" fontId="18" fillId="0" borderId="0" xfId="0" applyFont="1" applyBorder="1" applyAlignment="1">
      <alignment horizontal="center" vertical="center" wrapText="1"/>
    </xf>
    <xf numFmtId="0" fontId="36" fillId="0" borderId="0" xfId="0" applyFont="1" applyBorder="1"/>
    <xf numFmtId="0" fontId="63" fillId="10" borderId="17" xfId="50" applyFont="1" applyBorder="1" applyAlignment="1">
      <alignment wrapText="1" readingOrder="1"/>
    </xf>
    <xf numFmtId="0" fontId="6" fillId="0" borderId="0" xfId="0" applyFont="1" applyAlignment="1">
      <alignment horizontal="center" vertical="center" wrapText="1"/>
    </xf>
    <xf numFmtId="0" fontId="38" fillId="0" borderId="0" xfId="0" applyFont="1"/>
    <xf numFmtId="0" fontId="18" fillId="9" borderId="0" xfId="0" applyFont="1" applyFill="1" applyAlignment="1">
      <alignment horizontal="center" vertical="center" wrapText="1"/>
    </xf>
    <xf numFmtId="177" fontId="18" fillId="9" borderId="14" xfId="0" applyNumberFormat="1" applyFont="1" applyFill="1" applyBorder="1" applyAlignment="1">
      <alignment horizontal="center" vertical="center" wrapText="1"/>
    </xf>
    <xf numFmtId="0" fontId="63" fillId="10" borderId="18" xfId="50" applyFont="1" applyBorder="1" applyAlignment="1">
      <alignment horizontal="center" vertical="center" wrapText="1" readingOrder="1"/>
    </xf>
    <xf numFmtId="0" fontId="18" fillId="8" borderId="0" xfId="0" applyFont="1" applyFill="1" applyAlignment="1">
      <alignment horizontal="center" vertical="center" wrapText="1"/>
    </xf>
    <xf numFmtId="0" fontId="36" fillId="12" borderId="5" xfId="0" applyFont="1" applyFill="1" applyBorder="1" applyAlignment="1">
      <alignment horizontal="center" vertical="center"/>
    </xf>
    <xf numFmtId="0" fontId="18" fillId="8" borderId="14" xfId="0" applyFont="1" applyFill="1" applyBorder="1" applyAlignment="1">
      <alignment horizontal="center" vertical="center" wrapText="1"/>
    </xf>
    <xf numFmtId="0" fontId="64" fillId="0" borderId="0" xfId="0" applyFont="1" applyAlignment="1">
      <alignment horizontal="center" vertical="center"/>
    </xf>
    <xf numFmtId="49" fontId="18" fillId="0" borderId="0" xfId="0" applyNumberFormat="1" applyFont="1" applyAlignment="1">
      <alignment horizontal="center" vertical="center" wrapText="1"/>
    </xf>
    <xf numFmtId="0" fontId="64" fillId="0" borderId="0" xfId="0" applyFont="1" applyAlignment="1">
      <alignment horizontal="center" vertical="center" wrapText="1"/>
    </xf>
    <xf numFmtId="0" fontId="45" fillId="0" borderId="0" xfId="0" applyFont="1" applyAlignment="1">
      <alignment horizontal="center" vertical="center" wrapText="1"/>
    </xf>
    <xf numFmtId="0" fontId="18" fillId="0" borderId="5" xfId="0" applyFont="1" applyBorder="1" applyAlignment="1">
      <alignment horizontal="center" vertical="center"/>
    </xf>
    <xf numFmtId="0" fontId="46" fillId="0" borderId="0" xfId="0" applyFont="1" applyFill="1" applyAlignment="1">
      <alignment horizontal="center" vertical="center"/>
    </xf>
    <xf numFmtId="0" fontId="46" fillId="13" borderId="0" xfId="0" applyFont="1" applyFill="1" applyAlignment="1">
      <alignment horizontal="center" vertical="center" wrapText="1"/>
    </xf>
    <xf numFmtId="0" fontId="18" fillId="14" borderId="0" xfId="0" applyFont="1" applyFill="1" applyAlignment="1">
      <alignment horizontal="center" vertical="center" wrapText="1"/>
    </xf>
    <xf numFmtId="0" fontId="6" fillId="0" borderId="0" xfId="0" applyFont="1" applyBorder="1" applyAlignment="1">
      <alignment horizontal="center" vertical="center"/>
    </xf>
    <xf numFmtId="176" fontId="37" fillId="0" borderId="0" xfId="0" applyNumberFormat="1" applyFont="1" applyBorder="1" applyAlignment="1">
      <alignment horizontal="center" vertical="center" wrapText="1"/>
    </xf>
    <xf numFmtId="0" fontId="56" fillId="0" borderId="0" xfId="0" applyFont="1" applyBorder="1" applyAlignment="1">
      <alignment horizontal="center" vertical="center"/>
    </xf>
    <xf numFmtId="0" fontId="37" fillId="0" borderId="0" xfId="0" applyFont="1" applyBorder="1" applyAlignment="1">
      <alignment horizontal="center" vertical="center" wrapText="1"/>
    </xf>
    <xf numFmtId="0" fontId="18" fillId="15" borderId="8" xfId="0" applyFont="1" applyFill="1" applyBorder="1" applyAlignment="1">
      <alignment horizontal="center" vertical="center" wrapText="1"/>
    </xf>
    <xf numFmtId="0" fontId="18" fillId="16" borderId="5" xfId="0" applyFont="1" applyFill="1" applyBorder="1" applyAlignment="1">
      <alignment horizontal="center" vertical="center" wrapText="1"/>
    </xf>
    <xf numFmtId="0" fontId="18" fillId="16" borderId="19" xfId="0" applyFont="1" applyFill="1" applyBorder="1" applyAlignment="1">
      <alignment horizontal="center" vertical="center" wrapText="1"/>
    </xf>
    <xf numFmtId="0" fontId="18" fillId="15" borderId="5" xfId="0" applyFont="1" applyFill="1" applyBorder="1" applyAlignment="1">
      <alignment horizontal="center" vertical="center" wrapText="1"/>
    </xf>
    <xf numFmtId="0" fontId="18" fillId="17" borderId="5" xfId="0" applyFont="1" applyFill="1" applyBorder="1" applyAlignment="1">
      <alignment horizontal="center" vertical="center" wrapText="1"/>
    </xf>
    <xf numFmtId="0" fontId="18" fillId="17" borderId="19" xfId="0" applyFont="1" applyFill="1" applyBorder="1" applyAlignment="1">
      <alignment horizontal="center" vertical="center" wrapText="1"/>
    </xf>
    <xf numFmtId="0" fontId="18" fillId="15" borderId="14" xfId="0" applyFont="1" applyFill="1" applyBorder="1" applyAlignment="1">
      <alignment horizontal="center" vertical="center" wrapText="1"/>
    </xf>
    <xf numFmtId="0" fontId="36" fillId="0" borderId="0" xfId="0" applyFont="1" applyAlignment="1">
      <alignment horizontal="center" vertical="center"/>
    </xf>
    <xf numFmtId="0" fontId="65" fillId="0" borderId="5" xfId="0" applyFont="1" applyBorder="1" applyAlignment="1">
      <alignment horizontal="center" vertical="center" wrapText="1"/>
    </xf>
    <xf numFmtId="0" fontId="18" fillId="17" borderId="20" xfId="0" applyFont="1" applyFill="1" applyBorder="1" applyAlignment="1">
      <alignment horizontal="center" vertical="center" wrapText="1"/>
    </xf>
    <xf numFmtId="0" fontId="65" fillId="18" borderId="0" xfId="0" applyFont="1" applyFill="1" applyAlignment="1">
      <alignment horizontal="center" vertical="center"/>
    </xf>
    <xf numFmtId="0" fontId="39" fillId="0" borderId="5" xfId="0" applyFont="1" applyBorder="1" applyAlignment="1">
      <alignment horizontal="center" vertical="center" wrapText="1"/>
    </xf>
    <xf numFmtId="0" fontId="65" fillId="0" borderId="0" xfId="0" applyFont="1" applyAlignment="1">
      <alignment horizontal="left" vertical="center"/>
    </xf>
    <xf numFmtId="0" fontId="39" fillId="19" borderId="5" xfId="0" applyFont="1" applyFill="1" applyBorder="1" applyAlignment="1">
      <alignment horizontal="center" vertical="center" wrapText="1"/>
    </xf>
    <xf numFmtId="0" fontId="65" fillId="0" borderId="0" xfId="0" applyFont="1" applyAlignment="1">
      <alignment horizontal="left" vertical="center" wrapText="1"/>
    </xf>
    <xf numFmtId="0" fontId="39" fillId="19" borderId="14" xfId="0" applyFont="1" applyFill="1" applyBorder="1" applyAlignment="1">
      <alignment horizontal="center" vertical="center" wrapText="1"/>
    </xf>
    <xf numFmtId="0" fontId="66" fillId="16" borderId="0" xfId="0" applyFont="1" applyFill="1" applyAlignment="1">
      <alignment horizontal="left" vertical="center"/>
    </xf>
    <xf numFmtId="0" fontId="65" fillId="0" borderId="0" xfId="0" applyFont="1" applyAlignment="1">
      <alignment horizontal="center" vertical="center" wrapText="1"/>
    </xf>
    <xf numFmtId="0" fontId="67" fillId="16" borderId="0" xfId="0" applyFont="1" applyFill="1" applyAlignment="1">
      <alignment horizontal="left" vertical="center"/>
    </xf>
    <xf numFmtId="0" fontId="66" fillId="2" borderId="0" xfId="0" applyFont="1" applyFill="1" applyAlignment="1">
      <alignment vertical="center"/>
    </xf>
    <xf numFmtId="0" fontId="68" fillId="11" borderId="14" xfId="0" applyFont="1" applyFill="1" applyBorder="1" applyAlignment="1">
      <alignment horizontal="center" vertical="center" wrapText="1"/>
    </xf>
    <xf numFmtId="0" fontId="67" fillId="2" borderId="0" xfId="0" applyFont="1" applyFill="1" applyAlignment="1">
      <alignment vertical="center"/>
    </xf>
  </cellXfs>
  <cellStyles count="6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常规 6" xfId="13"/>
    <cellStyle name="注释" xfId="14" builtinId="10"/>
    <cellStyle name="60% - 强调文字颜色 2" xfId="15" builtinId="36"/>
    <cellStyle name="标题 4" xfId="16" builtinId="19"/>
    <cellStyle name="警告文本" xfId="17" builtinId="11"/>
    <cellStyle name="标题" xfId="18" builtinId="15"/>
    <cellStyle name="解释性文本" xfId="19" builtinId="53"/>
    <cellStyle name="常规 8" xfId="20"/>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检查单元格" xfId="28" builtinId="23"/>
    <cellStyle name="20% - 强调文字颜色 6" xfId="29" builtinId="50"/>
    <cellStyle name="强调文字颜色 2" xfId="30" builtinId="33"/>
    <cellStyle name="链接单元格" xfId="31" builtinId="24"/>
    <cellStyle name="汇总" xfId="32" builtinId="25"/>
    <cellStyle name="好" xfId="33" builtinId="26"/>
    <cellStyle name="适中" xfId="34" builtinId="28"/>
    <cellStyle name="20% - 强调文字颜色 5" xfId="35" builtinId="46"/>
    <cellStyle name="强调文字颜色 1" xfId="36" builtinId="29"/>
    <cellStyle name="20% - 强调文字颜色 1" xfId="37" builtinId="30"/>
    <cellStyle name="40% - 强调文字颜色 1" xfId="38" builtinId="31"/>
    <cellStyle name="20% - 强调文字颜色 2" xfId="39" builtinId="34"/>
    <cellStyle name="40% - 强调文字颜色 2" xfId="40" builtinId="35"/>
    <cellStyle name="强调文字颜色 3" xfId="41" builtinId="37"/>
    <cellStyle name="强调文字颜色 4" xfId="42" builtinId="41"/>
    <cellStyle name="20% - 强调文字颜色 4" xfId="43" builtinId="42"/>
    <cellStyle name="40% - 强调文字颜色 4" xfId="44" builtinId="43"/>
    <cellStyle name="强调文字颜色 5" xfId="45" builtinId="45"/>
    <cellStyle name="常规 2 2" xfId="46"/>
    <cellStyle name="Normal 3" xfId="47"/>
    <cellStyle name="40% - 强调文字颜色 5" xfId="48" builtinId="47"/>
    <cellStyle name="60% - 强调文字颜色 5" xfId="49" builtinId="48"/>
    <cellStyle name="强调文字颜色 6" xfId="50" builtinId="49"/>
    <cellStyle name="常规 2 3" xfId="51"/>
    <cellStyle name="40% - 强调文字颜色 6" xfId="52" builtinId="51"/>
    <cellStyle name="60% - 强调文字颜色 6" xfId="53" builtinId="52"/>
    <cellStyle name="常规 2" xfId="54"/>
    <cellStyle name="常规 2 4" xfId="55"/>
    <cellStyle name="常规 3" xfId="56"/>
    <cellStyle name="常规 4" xfId="57"/>
    <cellStyle name="常规 5" xfId="58"/>
    <cellStyle name="常规 7" xfId="59"/>
  </cellStyles>
  <tableStyles count="0" defaultTableStyle="TableStyleMedium2" defaultPivotStyle="PivotStyleLight16"/>
  <colors>
    <mruColors>
      <color rgb="00FF7C5D"/>
      <color rgb="00CCFF66"/>
      <color rgb="00FFFF85"/>
      <color rgb="0019FFC3"/>
      <color rgb="00FFB871"/>
      <color rgb="00FF9FFF"/>
      <color rgb="00E0B4B4"/>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4" Type="http://schemas.microsoft.com/office/2006/relationships/vbaProject" Target="vbaProject.bin"/><Relationship Id="rId33" Type="http://schemas.openxmlformats.org/officeDocument/2006/relationships/sharedStrings" Target="sharedStrings.xml"/><Relationship Id="rId32" Type="http://schemas.openxmlformats.org/officeDocument/2006/relationships/styles" Target="styles.xml"/><Relationship Id="rId31" Type="http://schemas.openxmlformats.org/officeDocument/2006/relationships/theme" Target="theme/theme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ctrlProps/ctrlProp17.xml><?xml version="1.0" encoding="utf-8"?>
<formControlPr xmlns="http://schemas.microsoft.com/office/spreadsheetml/2009/9/main" objectType="Button" val="0"/>
</file>

<file path=xl/ctrlProps/ctrlProp18.xml><?xml version="1.0" encoding="utf-8"?>
<formControlPr xmlns="http://schemas.microsoft.com/office/spreadsheetml/2009/9/main" objectType="Button" val="0"/>
</file>

<file path=xl/ctrlProps/ctrlProp19.xml><?xml version="1.0" encoding="utf-8"?>
<formControlPr xmlns="http://schemas.microsoft.com/office/spreadsheetml/2009/9/main" objectType="Button" val="0"/>
</file>

<file path=xl/ctrlProps/ctrlProp20.xml><?xml version="1.0" encoding="utf-8"?>
<formControlPr xmlns="http://schemas.microsoft.com/office/spreadsheetml/2009/9/main" objectType="Button" val="0"/>
</file>

<file path=xl/ctrlProps/ctrlProp21.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2</xdr:col>
          <xdr:colOff>7620</xdr:colOff>
          <xdr:row>1</xdr:row>
          <xdr:rowOff>15240</xdr:rowOff>
        </xdr:from>
        <xdr:to>
          <xdr:col>3</xdr:col>
          <xdr:colOff>1036320</xdr:colOff>
          <xdr:row>4</xdr:row>
          <xdr:rowOff>83820</xdr:rowOff>
        </xdr:to>
        <xdr:sp macro="[0]!数据运算">
          <xdr:nvSpPr>
            <xdr:cNvPr id="1064" name="Button 27" hidden="1">
              <a:extLst>
                <a:ext uri="{63B3BB69-23CF-44E3-9099-C40C66FF867C}">
                  <a14:compatExt spid="_x0000_s1064"/>
                </a:ext>
              </a:extLst>
            </xdr:cNvPr>
            <xdr:cNvSpPr/>
          </xdr:nvSpPr>
          <xdr:spPr>
            <a:xfrm>
              <a:off x="4861560" y="207645"/>
              <a:ext cx="1798320" cy="634365"/>
            </a:xfrm>
            <a:prstGeom prst="rect">
              <a:avLst/>
            </a:prstGeom>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panose="02010600030101010101" charset="-122"/>
                  <a:ea typeface="等线" panose="02010600030101010101" charset="-122"/>
                </a:rPr>
                <a:t>1 进行数据运算，生成三个工作表：数据、噪声表、废水污染源</a:t>
              </a:r>
              <a:endParaRPr lang="zh-CN" altLang="en-US" sz="1100" b="1" i="0" u="none" strike="noStrike" baseline="0">
                <a:solidFill>
                  <a:srgbClr val="000000"/>
                </a:solidFill>
                <a:latin typeface="等线" panose="02010600030101010101" charset="-122"/>
                <a:ea typeface="等线" panose="02010600030101010101"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1051560</xdr:colOff>
          <xdr:row>14</xdr:row>
          <xdr:rowOff>7620</xdr:rowOff>
        </xdr:from>
        <xdr:to>
          <xdr:col>4</xdr:col>
          <xdr:colOff>121920</xdr:colOff>
          <xdr:row>16</xdr:row>
          <xdr:rowOff>22860</xdr:rowOff>
        </xdr:to>
        <xdr:sp macro="[0]!重置">
          <xdr:nvSpPr>
            <xdr:cNvPr id="1065" name="Button 28" hidden="1">
              <a:extLst>
                <a:ext uri="{63B3BB69-23CF-44E3-9099-C40C66FF867C}">
                  <a14:compatExt spid="_x0000_s1065"/>
                </a:ext>
              </a:extLst>
            </xdr:cNvPr>
            <xdr:cNvSpPr/>
          </xdr:nvSpPr>
          <xdr:spPr>
            <a:xfrm>
              <a:off x="6675120" y="2821305"/>
              <a:ext cx="723900" cy="407670"/>
            </a:xfrm>
            <a:prstGeom prst="rect">
              <a:avLst/>
            </a:prstGeom>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panose="02010600030101010101" charset="-122"/>
                  <a:ea typeface="等线" panose="02010600030101010101" charset="-122"/>
                </a:rPr>
                <a:t>重置</a:t>
              </a:r>
              <a:endParaRPr lang="zh-CN" altLang="en-US" sz="1100" b="1" i="0" u="none" strike="noStrike" baseline="0">
                <a:solidFill>
                  <a:srgbClr val="000000"/>
                </a:solidFill>
                <a:latin typeface="等线" panose="02010600030101010101" charset="-122"/>
                <a:ea typeface="等线" panose="02010600030101010101"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2209800</xdr:colOff>
          <xdr:row>8</xdr:row>
          <xdr:rowOff>53340</xdr:rowOff>
        </xdr:from>
        <xdr:to>
          <xdr:col>3</xdr:col>
          <xdr:colOff>1043940</xdr:colOff>
          <xdr:row>11</xdr:row>
          <xdr:rowOff>60960</xdr:rowOff>
        </xdr:to>
        <xdr:sp macro="[0]!查询废气">
          <xdr:nvSpPr>
            <xdr:cNvPr id="1066" name="Button 29" hidden="1">
              <a:extLst>
                <a:ext uri="{63B3BB69-23CF-44E3-9099-C40C66FF867C}">
                  <a14:compatExt spid="_x0000_s1066"/>
                </a:ext>
              </a:extLst>
            </xdr:cNvPr>
            <xdr:cNvSpPr/>
          </xdr:nvSpPr>
          <xdr:spPr>
            <a:xfrm>
              <a:off x="4838700" y="1560195"/>
              <a:ext cx="1828800" cy="748665"/>
            </a:xfrm>
            <a:prstGeom prst="rect">
              <a:avLst/>
            </a:prstGeom>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panose="02010600030101010101" charset="-122"/>
                  <a:ea typeface="等线" panose="02010600030101010101" charset="-122"/>
                </a:rPr>
                <a:t>3 进行废气检索，一种废气生成一个工作表，以废气污染源名称命名，需要进入此工作表进一步完善信息</a:t>
              </a:r>
              <a:endParaRPr lang="zh-CN" altLang="en-US" sz="1100" b="1" i="0" u="none" strike="noStrike" baseline="0">
                <a:solidFill>
                  <a:srgbClr val="000000"/>
                </a:solidFill>
                <a:latin typeface="等线" panose="02010600030101010101" charset="-122"/>
                <a:ea typeface="等线" panose="02010600030101010101"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13</xdr:row>
          <xdr:rowOff>198120</xdr:rowOff>
        </xdr:from>
        <xdr:to>
          <xdr:col>3</xdr:col>
          <xdr:colOff>1021080</xdr:colOff>
          <xdr:row>17</xdr:row>
          <xdr:rowOff>22860</xdr:rowOff>
        </xdr:to>
        <xdr:sp macro="[0]!生成word">
          <xdr:nvSpPr>
            <xdr:cNvPr id="1067" name="Button 30" hidden="1">
              <a:extLst>
                <a:ext uri="{63B3BB69-23CF-44E3-9099-C40C66FF867C}">
                  <a14:compatExt spid="_x0000_s1067"/>
                </a:ext>
              </a:extLst>
            </xdr:cNvPr>
            <xdr:cNvSpPr/>
          </xdr:nvSpPr>
          <xdr:spPr>
            <a:xfrm>
              <a:off x="4853940" y="2811780"/>
              <a:ext cx="1790700" cy="600075"/>
            </a:xfrm>
            <a:prstGeom prst="rect">
              <a:avLst/>
            </a:prstGeom>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panose="02010600030101010101" charset="-122"/>
                  <a:ea typeface="等线" panose="02010600030101010101" charset="-122"/>
                </a:rPr>
                <a:t>6 生成word初稿</a:t>
              </a:r>
              <a:endParaRPr lang="zh-CN" altLang="en-US" sz="1100" b="1" i="0" u="none" strike="noStrike" baseline="0">
                <a:solidFill>
                  <a:srgbClr val="000000"/>
                </a:solidFill>
                <a:latin typeface="等线" panose="02010600030101010101" charset="-122"/>
                <a:ea typeface="等线" panose="02010600030101010101"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16</xdr:row>
          <xdr:rowOff>15240</xdr:rowOff>
        </xdr:from>
        <xdr:to>
          <xdr:col>6</xdr:col>
          <xdr:colOff>53340</xdr:colOff>
          <xdr:row>18</xdr:row>
          <xdr:rowOff>68580</xdr:rowOff>
        </xdr:to>
        <xdr:sp macro="[0]!生成工艺图">
          <xdr:nvSpPr>
            <xdr:cNvPr id="1068" name="Button 32" hidden="1">
              <a:extLst>
                <a:ext uri="{63B3BB69-23CF-44E3-9099-C40C66FF867C}">
                  <a14:compatExt spid="_x0000_s1068"/>
                </a:ext>
              </a:extLst>
            </xdr:cNvPr>
            <xdr:cNvSpPr/>
          </xdr:nvSpPr>
          <xdr:spPr>
            <a:xfrm>
              <a:off x="9151620" y="3221355"/>
              <a:ext cx="1386840" cy="419100"/>
            </a:xfrm>
            <a:prstGeom prst="rect">
              <a:avLst/>
            </a:prstGeom>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panose="02010600030101010101" charset="-122"/>
                  <a:ea typeface="等线" panose="02010600030101010101" charset="-122"/>
                </a:rPr>
                <a:t>7 生成工艺图PPT</a:t>
              </a:r>
              <a:endParaRPr lang="zh-CN" altLang="en-US" sz="1100" b="1" i="0" u="none" strike="noStrike" baseline="0">
                <a:solidFill>
                  <a:srgbClr val="000000"/>
                </a:solidFill>
                <a:latin typeface="等线" panose="02010600030101010101" charset="-122"/>
                <a:ea typeface="等线" panose="02010600030101010101"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18</xdr:row>
          <xdr:rowOff>99060</xdr:rowOff>
        </xdr:from>
        <xdr:to>
          <xdr:col>6</xdr:col>
          <xdr:colOff>53340</xdr:colOff>
          <xdr:row>20</xdr:row>
          <xdr:rowOff>167640</xdr:rowOff>
        </xdr:to>
        <xdr:sp macro="[0]!粘贴附件">
          <xdr:nvSpPr>
            <xdr:cNvPr id="1069" name="Button 36" hidden="1">
              <a:extLst>
                <a:ext uri="{63B3BB69-23CF-44E3-9099-C40C66FF867C}">
                  <a14:compatExt spid="_x0000_s1069"/>
                </a:ext>
              </a:extLst>
            </xdr:cNvPr>
            <xdr:cNvSpPr/>
          </xdr:nvSpPr>
          <xdr:spPr>
            <a:xfrm>
              <a:off x="9151620" y="3670935"/>
              <a:ext cx="1386840" cy="434340"/>
            </a:xfrm>
            <a:prstGeom prst="rect">
              <a:avLst/>
            </a:prstGeom>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panose="02010600030101010101" charset="-122"/>
                  <a:ea typeface="等线" panose="02010600030101010101" charset="-122"/>
                </a:rPr>
                <a:t>8 粘贴初稿附件</a:t>
              </a:r>
              <a:endParaRPr lang="zh-CN" altLang="en-US" sz="1100" b="1" i="0" u="none" strike="noStrike" baseline="0">
                <a:solidFill>
                  <a:srgbClr val="000000"/>
                </a:solidFill>
                <a:latin typeface="等线" panose="02010600030101010101" charset="-122"/>
                <a:ea typeface="等线" panose="02010600030101010101"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99060</xdr:rowOff>
        </xdr:from>
        <xdr:to>
          <xdr:col>3</xdr:col>
          <xdr:colOff>1036320</xdr:colOff>
          <xdr:row>8</xdr:row>
          <xdr:rowOff>30480</xdr:rowOff>
        </xdr:to>
        <xdr:sp macro="[0]!输出三表">
          <xdr:nvSpPr>
            <xdr:cNvPr id="1070" name="Button 27" hidden="1">
              <a:extLst>
                <a:ext uri="{63B3BB69-23CF-44E3-9099-C40C66FF867C}">
                  <a14:compatExt spid="_x0000_s1070"/>
                </a:ext>
              </a:extLst>
            </xdr:cNvPr>
            <xdr:cNvSpPr/>
          </xdr:nvSpPr>
          <xdr:spPr>
            <a:xfrm>
              <a:off x="4853940" y="857250"/>
              <a:ext cx="1805940" cy="680085"/>
            </a:xfrm>
            <a:prstGeom prst="rect">
              <a:avLst/>
            </a:prstGeom>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panose="02010600030101010101" charset="-122"/>
                  <a:ea typeface="等线" panose="02010600030101010101" charset="-122"/>
                </a:rPr>
                <a:t>2 进行产品材料设备信息整合，生成一个工作表：产品材料设备三表（简称：三表）</a:t>
              </a:r>
              <a:endParaRPr lang="zh-CN" altLang="en-US" sz="1100" b="1" i="0" u="none" strike="noStrike" baseline="0">
                <a:solidFill>
                  <a:srgbClr val="000000"/>
                </a:solidFill>
                <a:latin typeface="等线" panose="02010600030101010101" charset="-122"/>
                <a:ea typeface="等线" panose="02010600030101010101"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2209800</xdr:colOff>
          <xdr:row>11</xdr:row>
          <xdr:rowOff>53340</xdr:rowOff>
        </xdr:from>
        <xdr:to>
          <xdr:col>2</xdr:col>
          <xdr:colOff>762000</xdr:colOff>
          <xdr:row>13</xdr:row>
          <xdr:rowOff>182880</xdr:rowOff>
        </xdr:to>
        <xdr:sp macro="[0]!输出三同时表">
          <xdr:nvSpPr>
            <xdr:cNvPr id="1073" name="Button 29" hidden="1">
              <a:extLst>
                <a:ext uri="{63B3BB69-23CF-44E3-9099-C40C66FF867C}">
                  <a14:compatExt spid="_x0000_s1073"/>
                </a:ext>
              </a:extLst>
            </xdr:cNvPr>
            <xdr:cNvSpPr/>
          </xdr:nvSpPr>
          <xdr:spPr>
            <a:xfrm>
              <a:off x="4838700" y="2301240"/>
              <a:ext cx="777240" cy="495300"/>
            </a:xfrm>
            <a:prstGeom prst="rect">
              <a:avLst/>
            </a:prstGeom>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panose="02010600030101010101" charset="-122"/>
                  <a:ea typeface="等线" panose="02010600030101010101" charset="-122"/>
                </a:rPr>
                <a:t>4 输出三同时表</a:t>
              </a:r>
              <a:endParaRPr lang="zh-CN" altLang="en-US" sz="1100" b="1" i="0" u="none" strike="noStrike" baseline="0">
                <a:solidFill>
                  <a:srgbClr val="000000"/>
                </a:solidFill>
                <a:latin typeface="等线" panose="02010600030101010101" charset="-122"/>
                <a:ea typeface="等线" panose="02010600030101010101"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762000</xdr:colOff>
          <xdr:row>11</xdr:row>
          <xdr:rowOff>53340</xdr:rowOff>
        </xdr:from>
        <xdr:to>
          <xdr:col>3</xdr:col>
          <xdr:colOff>769620</xdr:colOff>
          <xdr:row>13</xdr:row>
          <xdr:rowOff>182880</xdr:rowOff>
        </xdr:to>
        <xdr:sp macro="[0]!填写表格">
          <xdr:nvSpPr>
            <xdr:cNvPr id="1074" name="Button 29" hidden="1">
              <a:extLst>
                <a:ext uri="{63B3BB69-23CF-44E3-9099-C40C66FF867C}">
                  <a14:compatExt spid="_x0000_s1074"/>
                </a:ext>
              </a:extLst>
            </xdr:cNvPr>
            <xdr:cNvSpPr/>
          </xdr:nvSpPr>
          <xdr:spPr>
            <a:xfrm>
              <a:off x="5615940" y="2301240"/>
              <a:ext cx="777240" cy="495300"/>
            </a:xfrm>
            <a:prstGeom prst="rect">
              <a:avLst/>
            </a:prstGeom>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panose="02010600030101010101" charset="-122"/>
                  <a:ea typeface="等线" panose="02010600030101010101" charset="-122"/>
                </a:rPr>
                <a:t>5 填写基础信息表</a:t>
              </a:r>
              <a:endParaRPr lang="zh-CN" altLang="en-US" sz="1100" b="1" i="0" u="none" strike="noStrike" baseline="0">
                <a:solidFill>
                  <a:srgbClr val="000000"/>
                </a:solidFill>
                <a:latin typeface="等线" panose="02010600030101010101" charset="-122"/>
                <a:ea typeface="等线" panose="02010600030101010101" charset="-122"/>
              </a:endParaRPr>
            </a:p>
          </xdr:txBody>
        </xdr:sp>
        <xdr:clientData fPrintsWithSheet="0"/>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xdr:col>
          <xdr:colOff>22860</xdr:colOff>
          <xdr:row>0</xdr:row>
          <xdr:rowOff>76200</xdr:rowOff>
        </xdr:from>
        <xdr:to>
          <xdr:col>6</xdr:col>
          <xdr:colOff>312420</xdr:colOff>
          <xdr:row>3</xdr:row>
          <xdr:rowOff>68580</xdr:rowOff>
        </xdr:to>
        <xdr:sp macro="[0]!增加环保工程">
          <xdr:nvSpPr>
            <xdr:cNvPr id="101379" name="Button 3" hidden="1">
              <a:extLst>
                <a:ext uri="{63B3BB69-23CF-44E3-9099-C40C66FF867C}">
                  <a14:compatExt spid="_x0000_s101379"/>
                </a:ext>
              </a:extLst>
            </xdr:cNvPr>
            <xdr:cNvSpPr/>
          </xdr:nvSpPr>
          <xdr:spPr>
            <a:xfrm>
              <a:off x="5852160" y="76200"/>
              <a:ext cx="1524000" cy="90678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panose="02010600030101010101" charset="-122"/>
                  <a:ea typeface="等线" panose="02010600030101010101" charset="-122"/>
                </a:rPr>
                <a:t>如有需要请按此按钮，新增一行环保工程</a:t>
              </a:r>
              <a:endParaRPr lang="zh-CN" altLang="en-US" sz="1100" b="0" i="0" u="none" strike="noStrike" baseline="0">
                <a:solidFill>
                  <a:srgbClr val="000000"/>
                </a:solidFill>
                <a:latin typeface="等线" panose="02010600030101010101" charset="-122"/>
                <a:ea typeface="等线" panose="02010600030101010101" charset="-122"/>
              </a:endParaRPr>
            </a:p>
          </xdr:txBody>
        </xdr:sp>
        <xdr:clientData fPrintsWithSheet="0"/>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11</xdr:col>
          <xdr:colOff>541020</xdr:colOff>
          <xdr:row>2</xdr:row>
          <xdr:rowOff>121920</xdr:rowOff>
        </xdr:from>
        <xdr:to>
          <xdr:col>13</xdr:col>
          <xdr:colOff>160020</xdr:colOff>
          <xdr:row>4</xdr:row>
          <xdr:rowOff>137160</xdr:rowOff>
        </xdr:to>
        <xdr:sp macro="[0]!重置产品">
          <xdr:nvSpPr>
            <xdr:cNvPr id="69635" name="Button 3" hidden="1">
              <a:extLst>
                <a:ext uri="{63B3BB69-23CF-44E3-9099-C40C66FF867C}">
                  <a14:compatExt spid="_x0000_s69635"/>
                </a:ext>
              </a:extLst>
            </xdr:cNvPr>
            <xdr:cNvSpPr/>
          </xdr:nvSpPr>
          <xdr:spPr>
            <a:xfrm>
              <a:off x="7086600" y="487680"/>
              <a:ext cx="853440" cy="36576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panose="02010600030101010101" charset="-122"/>
                  <a:ea typeface="等线" panose="02010600030101010101" charset="-122"/>
                </a:rPr>
                <a:t>重置产品</a:t>
              </a:r>
              <a:endParaRPr lang="zh-CN" altLang="en-US" sz="1100" b="0" i="0" u="none" strike="noStrike" baseline="0">
                <a:solidFill>
                  <a:srgbClr val="000000"/>
                </a:solidFill>
                <a:latin typeface="等线" panose="02010600030101010101" charset="-122"/>
                <a:ea typeface="等线" panose="02010600030101010101" charset="-122"/>
              </a:endParaRPr>
            </a:p>
          </xdr:txBody>
        </xdr:sp>
        <xdr:clientData fPrintsWithSheet="0"/>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9</xdr:col>
          <xdr:colOff>144780</xdr:colOff>
          <xdr:row>2</xdr:row>
          <xdr:rowOff>83820</xdr:rowOff>
        </xdr:from>
        <xdr:to>
          <xdr:col>10</xdr:col>
          <xdr:colOff>457200</xdr:colOff>
          <xdr:row>4</xdr:row>
          <xdr:rowOff>99060</xdr:rowOff>
        </xdr:to>
        <xdr:sp macro="[0]!重置材料">
          <xdr:nvSpPr>
            <xdr:cNvPr id="39939" name="Button 3" hidden="1">
              <a:extLst>
                <a:ext uri="{63B3BB69-23CF-44E3-9099-C40C66FF867C}">
                  <a14:compatExt spid="_x0000_s39939"/>
                </a:ext>
              </a:extLst>
            </xdr:cNvPr>
            <xdr:cNvSpPr/>
          </xdr:nvSpPr>
          <xdr:spPr>
            <a:xfrm>
              <a:off x="8092440" y="449580"/>
              <a:ext cx="922020" cy="3810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panose="02010600030101010101" charset="-122"/>
                  <a:ea typeface="等线" panose="02010600030101010101" charset="-122"/>
                </a:rPr>
                <a:t>重置材料</a:t>
              </a:r>
              <a:endParaRPr lang="zh-CN" altLang="en-US" sz="1100" b="0" i="0" u="none" strike="noStrike" baseline="0">
                <a:solidFill>
                  <a:srgbClr val="000000"/>
                </a:solidFill>
                <a:latin typeface="等线" panose="02010600030101010101" charset="-122"/>
                <a:ea typeface="等线" panose="02010600030101010101" charset="-122"/>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xdr:col>
          <xdr:colOff>388620</xdr:colOff>
          <xdr:row>5</xdr:row>
          <xdr:rowOff>83820</xdr:rowOff>
        </xdr:from>
        <xdr:to>
          <xdr:col>7</xdr:col>
          <xdr:colOff>30480</xdr:colOff>
          <xdr:row>7</xdr:row>
          <xdr:rowOff>99060</xdr:rowOff>
        </xdr:to>
        <xdr:sp macro="[0]!重置设备">
          <xdr:nvSpPr>
            <xdr:cNvPr id="40962" name="Button 2" hidden="1">
              <a:extLst>
                <a:ext uri="{63B3BB69-23CF-44E3-9099-C40C66FF867C}">
                  <a14:compatExt spid="_x0000_s40962"/>
                </a:ext>
              </a:extLst>
            </xdr:cNvPr>
            <xdr:cNvSpPr/>
          </xdr:nvSpPr>
          <xdr:spPr>
            <a:xfrm>
              <a:off x="3444240" y="1181100"/>
              <a:ext cx="861060" cy="3810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panose="02010600030101010101" charset="-122"/>
                  <a:ea typeface="等线" panose="02010600030101010101" charset="-122"/>
                </a:rPr>
                <a:t>重置设备</a:t>
              </a:r>
              <a:endParaRPr lang="zh-CN" altLang="en-US" sz="1100" b="0" i="0" u="none" strike="noStrike" baseline="0">
                <a:solidFill>
                  <a:srgbClr val="000000"/>
                </a:solidFill>
                <a:latin typeface="等线" panose="02010600030101010101" charset="-122"/>
                <a:ea typeface="等线" panose="02010600030101010101" charset="-122"/>
              </a:endParaRPr>
            </a:p>
          </xdr:txBody>
        </xdr:sp>
        <xdr:clientData fPrintsWithSheet="0"/>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7</xdr:col>
          <xdr:colOff>7620</xdr:colOff>
          <xdr:row>15</xdr:row>
          <xdr:rowOff>38100</xdr:rowOff>
        </xdr:from>
        <xdr:to>
          <xdr:col>9</xdr:col>
          <xdr:colOff>0</xdr:colOff>
          <xdr:row>17</xdr:row>
          <xdr:rowOff>152400</xdr:rowOff>
        </xdr:to>
        <xdr:sp macro="[0]!备案附件">
          <xdr:nvSpPr>
            <xdr:cNvPr id="96257" name="Button 1" hidden="1">
              <a:extLst>
                <a:ext uri="{63B3BB69-23CF-44E3-9099-C40C66FF867C}">
                  <a14:compatExt spid="_x0000_s96257"/>
                </a:ext>
              </a:extLst>
            </xdr:cNvPr>
            <xdr:cNvSpPr/>
          </xdr:nvSpPr>
          <xdr:spPr>
            <a:xfrm>
              <a:off x="4046220" y="4549140"/>
              <a:ext cx="1120140" cy="46482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panose="02010600030101010101" charset="-122"/>
                  <a:ea typeface="等线" panose="02010600030101010101" charset="-122"/>
                </a:rPr>
                <a:t>确认输出</a:t>
              </a:r>
              <a:endParaRPr lang="zh-CN" altLang="en-US" sz="1100" b="0" i="0" u="none" strike="noStrike" baseline="0">
                <a:solidFill>
                  <a:srgbClr val="000000"/>
                </a:solidFill>
                <a:latin typeface="等线" panose="02010600030101010101" charset="-122"/>
                <a:ea typeface="等线" panose="02010600030101010101"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182880</xdr:colOff>
          <xdr:row>18</xdr:row>
          <xdr:rowOff>121920</xdr:rowOff>
        </xdr:from>
        <xdr:to>
          <xdr:col>8</xdr:col>
          <xdr:colOff>182880</xdr:colOff>
          <xdr:row>20</xdr:row>
          <xdr:rowOff>137160</xdr:rowOff>
        </xdr:to>
        <xdr:sp macro="[0]!重置附件">
          <xdr:nvSpPr>
            <xdr:cNvPr id="96258" name="Button 2" hidden="1">
              <a:extLst>
                <a:ext uri="{63B3BB69-23CF-44E3-9099-C40C66FF867C}">
                  <a14:compatExt spid="_x0000_s96258"/>
                </a:ext>
              </a:extLst>
            </xdr:cNvPr>
            <xdr:cNvSpPr/>
          </xdr:nvSpPr>
          <xdr:spPr>
            <a:xfrm>
              <a:off x="4221480" y="5158740"/>
              <a:ext cx="891540" cy="36576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panose="02010600030101010101" charset="-122"/>
                  <a:ea typeface="等线" panose="02010600030101010101" charset="-122"/>
                </a:rPr>
                <a:t>重置附件</a:t>
              </a:r>
              <a:endParaRPr lang="zh-CN" altLang="en-US" sz="1100" b="0" i="0" u="none" strike="noStrike" baseline="0">
                <a:solidFill>
                  <a:srgbClr val="000000"/>
                </a:solidFill>
                <a:latin typeface="等线" panose="02010600030101010101" charset="-122"/>
                <a:ea typeface="等线" panose="02010600030101010101"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xdr:colOff>
          <xdr:row>7</xdr:row>
          <xdr:rowOff>22860</xdr:rowOff>
        </xdr:from>
        <xdr:to>
          <xdr:col>9</xdr:col>
          <xdr:colOff>0</xdr:colOff>
          <xdr:row>9</xdr:row>
          <xdr:rowOff>60960</xdr:rowOff>
        </xdr:to>
        <xdr:sp macro="[0]!阿南附件">
          <xdr:nvSpPr>
            <xdr:cNvPr id="96259" name="Button 3" hidden="1">
              <a:extLst>
                <a:ext uri="{63B3BB69-23CF-44E3-9099-C40C66FF867C}">
                  <a14:compatExt spid="_x0000_s96259"/>
                </a:ext>
              </a:extLst>
            </xdr:cNvPr>
            <xdr:cNvSpPr/>
          </xdr:nvSpPr>
          <xdr:spPr>
            <a:xfrm>
              <a:off x="4061460" y="2080260"/>
              <a:ext cx="1104900" cy="9144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panose="02010600030101010101" charset="-122"/>
                  <a:ea typeface="等线" panose="02010600030101010101" charset="-122"/>
                </a:rPr>
                <a:t>阿南附件</a:t>
              </a:r>
              <a:endParaRPr lang="zh-CN" altLang="en-US" sz="1100" b="0" i="0" u="none" strike="noStrike" baseline="0">
                <a:solidFill>
                  <a:srgbClr val="000000"/>
                </a:solidFill>
                <a:latin typeface="等线" panose="02010600030101010101" charset="-122"/>
                <a:ea typeface="等线" panose="02010600030101010101"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xdr:row>
          <xdr:rowOff>83820</xdr:rowOff>
        </xdr:from>
        <xdr:to>
          <xdr:col>9</xdr:col>
          <xdr:colOff>0</xdr:colOff>
          <xdr:row>6</xdr:row>
          <xdr:rowOff>144780</xdr:rowOff>
        </xdr:to>
        <xdr:sp macro="[0]!默认附件">
          <xdr:nvSpPr>
            <xdr:cNvPr id="96260" name="Button 4" hidden="1">
              <a:extLst>
                <a:ext uri="{63B3BB69-23CF-44E3-9099-C40C66FF867C}">
                  <a14:compatExt spid="_x0000_s96260"/>
                </a:ext>
              </a:extLst>
            </xdr:cNvPr>
            <xdr:cNvSpPr/>
          </xdr:nvSpPr>
          <xdr:spPr>
            <a:xfrm>
              <a:off x="4038600" y="1135380"/>
              <a:ext cx="1127760" cy="89154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panose="02010600030101010101" charset="-122"/>
                  <a:ea typeface="等线" panose="02010600030101010101" charset="-122"/>
                </a:rPr>
                <a:t>默认附件</a:t>
              </a:r>
              <a:endParaRPr lang="zh-CN" altLang="en-US" sz="1100" b="0" i="0" u="none" strike="noStrike" baseline="0">
                <a:solidFill>
                  <a:srgbClr val="000000"/>
                </a:solidFill>
                <a:latin typeface="等线" panose="02010600030101010101" charset="-122"/>
                <a:ea typeface="等线" panose="02010600030101010101"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xdr:colOff>
          <xdr:row>9</xdr:row>
          <xdr:rowOff>22860</xdr:rowOff>
        </xdr:from>
        <xdr:to>
          <xdr:col>9</xdr:col>
          <xdr:colOff>0</xdr:colOff>
          <xdr:row>11</xdr:row>
          <xdr:rowOff>60960</xdr:rowOff>
        </xdr:to>
        <xdr:sp macro="[0]!环科所附件">
          <xdr:nvSpPr>
            <xdr:cNvPr id="96261" name="Button 6" hidden="1">
              <a:extLst>
                <a:ext uri="{63B3BB69-23CF-44E3-9099-C40C66FF867C}">
                  <a14:compatExt spid="_x0000_s96261"/>
                </a:ext>
              </a:extLst>
            </xdr:cNvPr>
            <xdr:cNvSpPr/>
          </xdr:nvSpPr>
          <xdr:spPr>
            <a:xfrm>
              <a:off x="4061460" y="2956560"/>
              <a:ext cx="1104900" cy="73914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panose="02010600030101010101" charset="-122"/>
                  <a:ea typeface="等线" panose="02010600030101010101" charset="-122"/>
                </a:rPr>
                <a:t>环科所附件</a:t>
              </a:r>
              <a:endParaRPr lang="zh-CN" altLang="en-US" sz="1100" b="0" i="0" u="none" strike="noStrike" baseline="0">
                <a:solidFill>
                  <a:srgbClr val="000000"/>
                </a:solidFill>
                <a:latin typeface="等线" panose="02010600030101010101" charset="-122"/>
                <a:ea typeface="等线" panose="02010600030101010101" charset="-122"/>
              </a:endParaRPr>
            </a:p>
          </xdr:txBody>
        </xdr:sp>
        <xdr:clientData fPrintsWithSheet="0"/>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xdr:col>
          <xdr:colOff>22860</xdr:colOff>
          <xdr:row>0</xdr:row>
          <xdr:rowOff>0</xdr:rowOff>
        </xdr:from>
        <xdr:to>
          <xdr:col>5</xdr:col>
          <xdr:colOff>373380</xdr:colOff>
          <xdr:row>3</xdr:row>
          <xdr:rowOff>7620</xdr:rowOff>
        </xdr:to>
        <xdr:sp macro="[0]!重置废气">
          <xdr:nvSpPr>
            <xdr:cNvPr id="67586" name="Button 2" hidden="1">
              <a:extLst>
                <a:ext uri="{63B3BB69-23CF-44E3-9099-C40C66FF867C}">
                  <a14:compatExt spid="_x0000_s67586"/>
                </a:ext>
              </a:extLst>
            </xdr:cNvPr>
            <xdr:cNvSpPr/>
          </xdr:nvSpPr>
          <xdr:spPr>
            <a:xfrm>
              <a:off x="4503420" y="0"/>
              <a:ext cx="1356360" cy="5334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重置</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3</xdr:col>
          <xdr:colOff>426720</xdr:colOff>
          <xdr:row>0</xdr:row>
          <xdr:rowOff>0</xdr:rowOff>
        </xdr:from>
        <xdr:to>
          <xdr:col>4</xdr:col>
          <xdr:colOff>1684020</xdr:colOff>
          <xdr:row>3</xdr:row>
          <xdr:rowOff>38100</xdr:rowOff>
        </xdr:to>
        <xdr:sp macro="[0]!查询废固">
          <xdr:nvSpPr>
            <xdr:cNvPr id="68609" name="Button 1" hidden="1">
              <a:extLst>
                <a:ext uri="{63B3BB69-23CF-44E3-9099-C40C66FF867C}">
                  <a14:compatExt spid="_x0000_s68609"/>
                </a:ext>
              </a:extLst>
            </xdr:cNvPr>
            <xdr:cNvSpPr/>
          </xdr:nvSpPr>
          <xdr:spPr>
            <a:xfrm>
              <a:off x="3314700" y="0"/>
              <a:ext cx="2895600" cy="563880"/>
            </a:xfrm>
            <a:prstGeom prst="rect">
              <a:avLst/>
            </a:prstGeom>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宋体" panose="02010600030101010101" pitchFamily="7" charset="-122"/>
                  <a:ea typeface="宋体" panose="02010600030101010101" pitchFamily="7" charset="-122"/>
                </a:rPr>
                <a:t>固废匹配搜索</a:t>
              </a:r>
              <a:endParaRPr lang="zh-CN" altLang="en-US" sz="1100" b="1"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0</xdr:row>
          <xdr:rowOff>0</xdr:rowOff>
        </xdr:from>
        <xdr:to>
          <xdr:col>5</xdr:col>
          <xdr:colOff>1508760</xdr:colOff>
          <xdr:row>3</xdr:row>
          <xdr:rowOff>7620</xdr:rowOff>
        </xdr:to>
        <xdr:sp macro="[0]!重置废固">
          <xdr:nvSpPr>
            <xdr:cNvPr id="68610" name="Button 2" hidden="1">
              <a:extLst>
                <a:ext uri="{63B3BB69-23CF-44E3-9099-C40C66FF867C}">
                  <a14:compatExt spid="_x0000_s68610"/>
                </a:ext>
              </a:extLst>
            </xdr:cNvPr>
            <xdr:cNvSpPr/>
          </xdr:nvSpPr>
          <xdr:spPr>
            <a:xfrm>
              <a:off x="6850380" y="0"/>
              <a:ext cx="1470660" cy="5334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重置</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9" Type="http://schemas.openxmlformats.org/officeDocument/2006/relationships/ctrlProp" Target="../ctrlProps/ctrlProp7.xml"/><Relationship Id="rId8" Type="http://schemas.openxmlformats.org/officeDocument/2006/relationships/ctrlProp" Target="../ctrlProps/ctrlProp6.xml"/><Relationship Id="rId7" Type="http://schemas.openxmlformats.org/officeDocument/2006/relationships/ctrlProp" Target="../ctrlProps/ctrlProp5.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1" Type="http://schemas.openxmlformats.org/officeDocument/2006/relationships/ctrlProp" Target="../ctrlProps/ctrlProp9.xml"/><Relationship Id="rId10" Type="http://schemas.openxmlformats.org/officeDocument/2006/relationships/ctrlProp" Target="../ctrlProps/ctrlProp8.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7" Type="http://schemas.openxmlformats.org/officeDocument/2006/relationships/ctrlProp" Target="../ctrlProps/ctrlProp18.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4" Type="http://schemas.openxmlformats.org/officeDocument/2006/relationships/ctrlProp" Target="../ctrlProps/ctrlProp21.xml"/><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theme="9" tint="0.399975585192419"/>
  </sheetPr>
  <dimension ref="A1:G57"/>
  <sheetViews>
    <sheetView topLeftCell="A22" workbookViewId="0">
      <selection activeCell="B45" sqref="B45"/>
    </sheetView>
  </sheetViews>
  <sheetFormatPr defaultColWidth="8.88888888888889" defaultRowHeight="13.8" outlineLevelCol="6"/>
  <cols>
    <col min="1" max="1" width="38.3333333333333" style="30" customWidth="1"/>
    <col min="2" max="2" width="32.4444444444444" style="204" customWidth="1"/>
    <col min="3" max="3" width="11.2222222222222" customWidth="1"/>
    <col min="4" max="4" width="24.1111111111111" customWidth="1"/>
    <col min="5" max="5" width="26.6666666666667" customWidth="1"/>
    <col min="6" max="6" width="20.1111111111111" customWidth="1"/>
    <col min="7" max="7" width="17.7777777777778" customWidth="1"/>
  </cols>
  <sheetData>
    <row r="1" ht="15.15" spans="1:7">
      <c r="A1" s="205" t="s">
        <v>0</v>
      </c>
      <c r="B1" s="206" t="s">
        <v>1</v>
      </c>
      <c r="C1" s="207" t="s">
        <v>2</v>
      </c>
      <c r="D1" s="208" t="s">
        <v>3</v>
      </c>
      <c r="E1" s="209" t="s">
        <v>4</v>
      </c>
      <c r="F1" s="209"/>
      <c r="G1" s="209"/>
    </row>
    <row r="2" ht="13.5" customHeight="1" spans="1:7">
      <c r="A2" s="210" t="s">
        <v>5</v>
      </c>
      <c r="B2" s="211" t="s">
        <v>6</v>
      </c>
      <c r="C2" s="207"/>
      <c r="D2" s="207"/>
      <c r="E2" s="212" t="s">
        <v>7</v>
      </c>
      <c r="F2" s="212" t="s">
        <v>8</v>
      </c>
      <c r="G2" s="212" t="s">
        <v>9</v>
      </c>
    </row>
    <row r="3" ht="15.9" spans="1:7">
      <c r="A3" s="210" t="s">
        <v>10</v>
      </c>
      <c r="B3" s="211" t="s">
        <v>11</v>
      </c>
      <c r="C3" s="207"/>
      <c r="D3" s="207"/>
      <c r="E3" s="213">
        <v>1</v>
      </c>
      <c r="F3" s="213" t="s">
        <v>12</v>
      </c>
      <c r="G3" s="213" t="s">
        <v>13</v>
      </c>
    </row>
    <row r="4" ht="15.15" spans="1:7">
      <c r="A4" s="210" t="s">
        <v>14</v>
      </c>
      <c r="B4" s="214" t="s">
        <v>15</v>
      </c>
      <c r="C4" s="207"/>
      <c r="D4" s="207"/>
      <c r="E4" s="215">
        <v>2</v>
      </c>
      <c r="F4" s="215" t="s">
        <v>16</v>
      </c>
      <c r="G4" s="215" t="s">
        <v>13</v>
      </c>
    </row>
    <row r="5" ht="15.15" spans="1:7">
      <c r="A5" s="210" t="s">
        <v>17</v>
      </c>
      <c r="B5" s="216" t="s">
        <v>18</v>
      </c>
      <c r="C5" s="207"/>
      <c r="D5" s="207"/>
      <c r="E5" s="215">
        <v>3</v>
      </c>
      <c r="F5" s="215" t="s">
        <v>19</v>
      </c>
      <c r="G5" s="215" t="s">
        <v>13</v>
      </c>
    </row>
    <row r="6" ht="13.5" customHeight="1" spans="1:7">
      <c r="A6" s="210" t="s">
        <v>20</v>
      </c>
      <c r="B6" s="211" t="s">
        <v>21</v>
      </c>
      <c r="C6" s="207"/>
      <c r="D6" s="207"/>
      <c r="E6" s="215">
        <v>4</v>
      </c>
      <c r="F6" s="215" t="s">
        <v>22</v>
      </c>
      <c r="G6" s="215" t="s">
        <v>13</v>
      </c>
    </row>
    <row r="7" ht="15.15" spans="1:7">
      <c r="A7" s="210" t="s">
        <v>23</v>
      </c>
      <c r="B7" s="211" t="s">
        <v>21</v>
      </c>
      <c r="C7" s="207"/>
      <c r="D7" s="207"/>
      <c r="E7" s="215">
        <v>5</v>
      </c>
      <c r="F7" s="215" t="s">
        <v>24</v>
      </c>
      <c r="G7" s="215" t="s">
        <v>13</v>
      </c>
    </row>
    <row r="8" ht="15.15" spans="1:7">
      <c r="A8" s="217" t="s">
        <v>25</v>
      </c>
      <c r="B8" s="218">
        <v>13715499733</v>
      </c>
      <c r="C8" s="219"/>
      <c r="D8" s="219"/>
      <c r="E8" s="215">
        <v>6</v>
      </c>
      <c r="F8" s="220" t="s">
        <v>26</v>
      </c>
      <c r="G8" s="215" t="s">
        <v>13</v>
      </c>
    </row>
    <row r="9" ht="15.15" spans="1:7">
      <c r="A9" s="210" t="s">
        <v>27</v>
      </c>
      <c r="B9" s="211">
        <v>528322</v>
      </c>
      <c r="C9" s="207"/>
      <c r="D9" s="207"/>
      <c r="E9" s="215">
        <v>7</v>
      </c>
      <c r="F9" s="215" t="s">
        <v>28</v>
      </c>
      <c r="G9" s="215" t="s">
        <v>29</v>
      </c>
    </row>
    <row r="10" ht="28.8" spans="1:7">
      <c r="A10" s="210" t="s">
        <v>30</v>
      </c>
      <c r="B10" s="221" t="s">
        <v>31</v>
      </c>
      <c r="C10" s="207"/>
      <c r="D10" s="207"/>
      <c r="E10" s="207"/>
      <c r="F10" s="222" t="s">
        <v>32</v>
      </c>
      <c r="G10" s="207"/>
    </row>
    <row r="11" ht="14.4" spans="1:7">
      <c r="A11" s="210" t="s">
        <v>33</v>
      </c>
      <c r="B11" s="223">
        <v>150</v>
      </c>
      <c r="C11" s="207"/>
      <c r="D11" s="207"/>
      <c r="E11" s="207"/>
      <c r="F11" s="222" t="s">
        <v>34</v>
      </c>
      <c r="G11" s="207"/>
    </row>
    <row r="12" ht="14.4" spans="1:7">
      <c r="A12" s="210" t="s">
        <v>35</v>
      </c>
      <c r="B12" s="223">
        <v>8</v>
      </c>
      <c r="C12" s="207"/>
      <c r="D12" s="207"/>
      <c r="E12" s="207"/>
      <c r="F12" s="222" t="s">
        <v>36</v>
      </c>
      <c r="G12" s="207"/>
    </row>
    <row r="13" ht="14.4" spans="1:7">
      <c r="A13" s="210" t="s">
        <v>37</v>
      </c>
      <c r="B13" s="224">
        <f>B12*100/B11</f>
        <v>5.33333333333333</v>
      </c>
      <c r="C13" s="207"/>
      <c r="D13" s="207"/>
      <c r="E13" s="207"/>
      <c r="F13" s="207"/>
      <c r="G13" s="207"/>
    </row>
    <row r="14" ht="15.75" spans="1:7">
      <c r="A14" s="210" t="s">
        <v>38</v>
      </c>
      <c r="B14" s="211">
        <v>313.41</v>
      </c>
      <c r="C14" s="207"/>
      <c r="D14" s="207"/>
      <c r="E14" s="207"/>
      <c r="F14" s="207"/>
      <c r="G14" s="207"/>
    </row>
    <row r="15" ht="15.75" spans="1:7">
      <c r="A15" s="210" t="s">
        <v>39</v>
      </c>
      <c r="B15" s="211">
        <v>361.41</v>
      </c>
      <c r="C15" s="207"/>
      <c r="D15" s="207"/>
      <c r="E15" s="207"/>
      <c r="F15" s="225" t="s">
        <v>40</v>
      </c>
      <c r="G15" s="225" t="s">
        <v>41</v>
      </c>
    </row>
    <row r="16" ht="15.15" spans="1:7">
      <c r="A16" s="210" t="s">
        <v>42</v>
      </c>
      <c r="B16" s="226">
        <v>8</v>
      </c>
      <c r="C16" s="207"/>
      <c r="D16" s="207"/>
      <c r="E16" s="207"/>
      <c r="F16" s="227" t="s">
        <v>43</v>
      </c>
      <c r="G16" s="227">
        <f>IFERROR(VLOOKUP(F16,工艺流程表!A:B,2,0),"")</f>
        <v>10</v>
      </c>
    </row>
    <row r="17" ht="14.4" spans="1:7">
      <c r="A17" s="210" t="s">
        <v>44</v>
      </c>
      <c r="B17" s="226">
        <v>0</v>
      </c>
      <c r="C17" s="207"/>
      <c r="D17" s="207"/>
      <c r="E17" s="207"/>
      <c r="F17" s="207"/>
      <c r="G17" s="207"/>
    </row>
    <row r="18" ht="14.4" spans="1:7">
      <c r="A18" s="210" t="s">
        <v>45</v>
      </c>
      <c r="B18" s="228">
        <f>B16+B17</f>
        <v>8</v>
      </c>
      <c r="C18" s="207"/>
      <c r="D18" s="207"/>
      <c r="E18" s="207"/>
      <c r="F18" s="207"/>
      <c r="G18" s="207"/>
    </row>
    <row r="19" ht="14.4" spans="1:7">
      <c r="A19" s="210" t="s">
        <v>46</v>
      </c>
      <c r="B19" s="211">
        <v>8</v>
      </c>
      <c r="C19" s="207"/>
      <c r="D19" s="207"/>
      <c r="E19" s="207"/>
      <c r="F19" s="207"/>
      <c r="G19" s="207"/>
    </row>
    <row r="20" ht="14.4" spans="1:7">
      <c r="A20" s="210" t="s">
        <v>47</v>
      </c>
      <c r="B20" s="211">
        <v>300</v>
      </c>
      <c r="C20" s="229" t="s">
        <v>9</v>
      </c>
      <c r="D20" s="180"/>
      <c r="E20" s="180"/>
      <c r="F20" s="207"/>
      <c r="G20" s="207"/>
    </row>
    <row r="21" ht="43.95" spans="1:7">
      <c r="A21" s="210" t="s">
        <v>48</v>
      </c>
      <c r="B21" s="230" t="s">
        <v>49</v>
      </c>
      <c r="C21" s="231" t="s">
        <v>50</v>
      </c>
      <c r="D21" s="231" t="s">
        <v>51</v>
      </c>
      <c r="E21" s="231" t="s">
        <v>52</v>
      </c>
      <c r="F21" s="207"/>
      <c r="G21" s="232" t="s">
        <v>53</v>
      </c>
    </row>
    <row r="22" ht="15.15" spans="1:7">
      <c r="A22" s="210" t="s">
        <v>54</v>
      </c>
      <c r="B22" s="233" t="s">
        <v>55</v>
      </c>
      <c r="C22" s="229"/>
      <c r="D22" s="180"/>
      <c r="E22" s="180"/>
      <c r="F22" s="207"/>
      <c r="G22" s="207"/>
    </row>
    <row r="23" ht="43.2" spans="1:7">
      <c r="A23" s="234" t="s">
        <v>56</v>
      </c>
      <c r="B23" s="235" t="s">
        <v>57</v>
      </c>
      <c r="C23" s="231" t="s">
        <v>58</v>
      </c>
      <c r="D23" s="180"/>
      <c r="E23" s="180"/>
      <c r="F23" s="207"/>
      <c r="G23" s="207"/>
    </row>
    <row r="24" ht="57.6" spans="1:7">
      <c r="A24" s="210" t="s">
        <v>59</v>
      </c>
      <c r="B24" s="236" t="s">
        <v>60</v>
      </c>
      <c r="C24" s="231" t="s">
        <v>61</v>
      </c>
      <c r="D24" s="180"/>
      <c r="E24" s="180"/>
      <c r="F24" s="207"/>
      <c r="G24" s="207"/>
    </row>
    <row r="25" ht="14.4" spans="1:7">
      <c r="A25" s="210" t="s">
        <v>62</v>
      </c>
      <c r="B25" s="211">
        <v>4</v>
      </c>
      <c r="C25" s="207"/>
      <c r="D25" s="207"/>
      <c r="E25" s="207"/>
      <c r="F25" s="207"/>
      <c r="G25" s="207"/>
    </row>
    <row r="26" ht="14.4" spans="1:7">
      <c r="A26" s="237" t="s">
        <v>63</v>
      </c>
      <c r="B26" s="238">
        <v>0</v>
      </c>
      <c r="C26" s="207"/>
      <c r="D26" s="207"/>
      <c r="E26" s="207"/>
      <c r="F26" s="207"/>
      <c r="G26" s="207"/>
    </row>
    <row r="27" ht="14.4" spans="1:7">
      <c r="A27" s="239" t="s">
        <v>64</v>
      </c>
      <c r="B27" s="240">
        <v>1.5</v>
      </c>
      <c r="C27" s="207"/>
      <c r="D27" s="207"/>
      <c r="E27" s="207"/>
      <c r="F27" s="207"/>
      <c r="G27" s="207"/>
    </row>
    <row r="28" ht="14.4" spans="1:7">
      <c r="A28" s="210" t="s">
        <v>65</v>
      </c>
      <c r="B28" s="211" t="s">
        <v>66</v>
      </c>
      <c r="C28" s="207"/>
      <c r="D28" s="207"/>
      <c r="E28" s="207"/>
      <c r="F28" s="207"/>
      <c r="G28" s="207"/>
    </row>
    <row r="29" ht="14.4" spans="1:7">
      <c r="A29" s="210" t="s">
        <v>67</v>
      </c>
      <c r="B29" s="211" t="s">
        <v>68</v>
      </c>
      <c r="C29" s="207"/>
      <c r="D29" s="207"/>
      <c r="E29" s="207"/>
      <c r="F29" s="207"/>
      <c r="G29" s="207"/>
    </row>
    <row r="30" ht="14.4" spans="1:7">
      <c r="A30" s="210" t="s">
        <v>69</v>
      </c>
      <c r="B30" s="211" t="s">
        <v>70</v>
      </c>
      <c r="C30" s="207"/>
      <c r="D30" s="207"/>
      <c r="E30" s="207"/>
      <c r="F30" s="207"/>
      <c r="G30" s="207"/>
    </row>
    <row r="31" ht="14.4" spans="1:7">
      <c r="A31" s="210" t="s">
        <v>71</v>
      </c>
      <c r="B31" s="211" t="s">
        <v>72</v>
      </c>
      <c r="C31" s="207"/>
      <c r="D31" s="207"/>
      <c r="E31" s="207"/>
      <c r="F31" s="207" t="s">
        <v>73</v>
      </c>
      <c r="G31" s="207"/>
    </row>
    <row r="32" ht="14.4" spans="1:7">
      <c r="A32" s="210" t="s">
        <v>74</v>
      </c>
      <c r="B32" s="211" t="s">
        <v>70</v>
      </c>
      <c r="C32" s="207"/>
      <c r="D32" s="207"/>
      <c r="E32" s="207"/>
      <c r="F32" s="207"/>
      <c r="G32" s="207"/>
    </row>
    <row r="33" ht="15.15" spans="1:7">
      <c r="A33" s="210" t="s">
        <v>75</v>
      </c>
      <c r="B33" s="211" t="s">
        <v>70</v>
      </c>
      <c r="C33" s="207"/>
      <c r="D33" s="207"/>
      <c r="E33" s="207"/>
      <c r="F33" s="207"/>
      <c r="G33" s="207"/>
    </row>
    <row r="34" ht="15.15" spans="1:7">
      <c r="A34" s="210" t="s">
        <v>76</v>
      </c>
      <c r="B34" s="241" t="s">
        <v>77</v>
      </c>
      <c r="C34" s="207"/>
      <c r="D34" s="207"/>
      <c r="E34" s="207"/>
      <c r="F34" s="207"/>
      <c r="G34" s="207"/>
    </row>
    <row r="35" ht="15.15" spans="1:7">
      <c r="A35" s="210" t="s">
        <v>78</v>
      </c>
      <c r="B35" s="206" t="s">
        <v>79</v>
      </c>
      <c r="C35" s="207"/>
      <c r="D35" s="207"/>
      <c r="E35" s="207"/>
      <c r="F35" s="207"/>
      <c r="G35" s="207"/>
    </row>
    <row r="36" ht="15.15" spans="1:7">
      <c r="A36" s="210" t="s">
        <v>80</v>
      </c>
      <c r="B36" s="242" t="s">
        <v>81</v>
      </c>
      <c r="C36" s="207"/>
      <c r="D36" s="207"/>
      <c r="E36" s="207"/>
      <c r="F36" s="207"/>
      <c r="G36" s="207"/>
    </row>
    <row r="37" ht="14.4" spans="1:7">
      <c r="A37" s="210" t="s">
        <v>82</v>
      </c>
      <c r="B37" s="243" t="str">
        <f>IFERROR(VLOOKUP(B36,地下水区域!$B:$D,2,0),"错误")</f>
        <v>孔隙水岩溶水</v>
      </c>
      <c r="C37" s="207"/>
      <c r="D37" s="207"/>
      <c r="E37" s="207"/>
      <c r="F37" s="207"/>
      <c r="G37" s="207"/>
    </row>
    <row r="38" ht="14.4" spans="1:7">
      <c r="A38" s="210" t="s">
        <v>83</v>
      </c>
      <c r="B38" s="243" t="str">
        <f>IFERROR(VLOOKUP(B36,地下水区域!$B:$D,3,0),"错误")</f>
        <v>Ⅲ类</v>
      </c>
      <c r="C38" s="207"/>
      <c r="D38" s="207"/>
      <c r="E38" s="207"/>
      <c r="F38" s="207"/>
      <c r="G38" s="207"/>
    </row>
    <row r="39" ht="15.15" spans="1:7">
      <c r="A39" s="210" t="s">
        <v>84</v>
      </c>
      <c r="B39" s="243" t="str">
        <f>IFERROR(VLOOKUP(B36,地下水区域!$B:$E,4,0),"错误")</f>
        <v>H074406003W01</v>
      </c>
      <c r="C39" s="207"/>
      <c r="D39" s="207"/>
      <c r="E39" s="207"/>
      <c r="F39" s="207"/>
      <c r="G39" s="207"/>
    </row>
    <row r="40" ht="72.75" spans="1:7">
      <c r="A40" s="210" t="s">
        <v>85</v>
      </c>
      <c r="B40" s="244" t="s">
        <v>86</v>
      </c>
      <c r="C40" s="231" t="s">
        <v>87</v>
      </c>
      <c r="D40" s="231" t="s">
        <v>88</v>
      </c>
      <c r="E40" s="207"/>
      <c r="F40" s="207"/>
      <c r="G40" s="207"/>
    </row>
    <row r="41" ht="15.15" spans="1:7">
      <c r="A41" s="210" t="s">
        <v>89</v>
      </c>
      <c r="B41" s="245" t="s">
        <v>90</v>
      </c>
      <c r="C41" s="207"/>
      <c r="D41" s="207"/>
      <c r="E41" s="207"/>
      <c r="F41" s="207"/>
      <c r="G41" s="207"/>
    </row>
    <row r="42" ht="14.4" spans="1:7">
      <c r="A42" s="210" t="s">
        <v>91</v>
      </c>
      <c r="B42" s="246" t="str">
        <f>IFERROR(VLOOKUP(B41,污水排放!$A$1:$B$2,2,0),"错误")</f>
        <v>经三级化粪处理后排入污水处理厂</v>
      </c>
      <c r="C42" s="207"/>
      <c r="D42" s="207"/>
      <c r="E42" s="207"/>
      <c r="F42" s="207"/>
      <c r="G42" s="207"/>
    </row>
    <row r="43" ht="86.4" spans="1:7">
      <c r="A43" s="210" t="s">
        <v>92</v>
      </c>
      <c r="B43" s="246" t="str">
        <f>IFERROR(VLOOKUP(B41,污水排放!$A$1:$C$2,3,0),"错误")</f>
        <v>经三级化粪达到广东省地方标准《水污染物排放限值》（DB44/26-2001）第二时段三级标准后经市政管网排入污水处理厂进一步处理，尾水排入。废水经达标处理后对周围环境影响不大。</v>
      </c>
      <c r="C43" s="207"/>
      <c r="D43" s="207"/>
      <c r="E43" s="207"/>
      <c r="F43" s="207"/>
      <c r="G43" s="207"/>
    </row>
    <row r="44" ht="14.4" spans="1:7">
      <c r="A44" s="210" t="s">
        <v>93</v>
      </c>
      <c r="B44" s="247" t="str">
        <f>IFERROR(VLOOKUP(B41&amp;B34&amp;B40,地表水区域!A2:F12,5,0),"内河涌")</f>
        <v>桂洲水道</v>
      </c>
      <c r="C44" s="207"/>
      <c r="D44" s="207"/>
      <c r="E44" s="207"/>
      <c r="F44" s="207"/>
      <c r="G44" s="207"/>
    </row>
    <row r="45" ht="14.4" spans="1:7">
      <c r="A45" s="210" t="s">
        <v>94</v>
      </c>
      <c r="B45" s="247" t="str">
        <f>IFERROR(VLOOKUP(B41&amp;B34&amp;B40,地表水区域!A2:F12,6,0),"Ⅳ类")</f>
        <v>Ⅲ类</v>
      </c>
      <c r="C45" s="207"/>
      <c r="D45" s="207"/>
      <c r="E45" s="207"/>
      <c r="F45" s="207"/>
      <c r="G45" s="207"/>
    </row>
    <row r="46" ht="15.15" spans="1:7">
      <c r="A46" s="210" t="s">
        <v>95</v>
      </c>
      <c r="B46" s="247" t="str">
        <f>IFERROR(VLOOKUP(B41&amp;B34&amp;B40,地表水区域!A2:G12,7,0),"景观、农用功能")</f>
        <v>综合用水</v>
      </c>
      <c r="C46" s="207"/>
      <c r="D46" s="207"/>
      <c r="E46" s="207"/>
      <c r="F46" s="207"/>
      <c r="G46" s="207"/>
    </row>
    <row r="47" spans="1:7">
      <c r="A47" s="248" t="s">
        <v>96</v>
      </c>
      <c r="B47" s="249" t="s">
        <v>97</v>
      </c>
      <c r="C47" s="207"/>
      <c r="D47" s="207"/>
      <c r="E47" s="207"/>
      <c r="F47" s="207"/>
      <c r="G47" s="207"/>
    </row>
    <row r="48" ht="288.75" spans="1:7">
      <c r="A48" s="210" t="s">
        <v>98</v>
      </c>
      <c r="B48" s="250" t="str">
        <f>IFERROR(VLOOKUP(B41,污水排放!$A$1:$D$2,4,0),"错误")</f>
        <v>经三级化粪处理后执行广东省地方标准《水污染物排放限值》（DB44/26-2001）第二时段三级标准：COD 500mg/L、BOD5 300mg/L、SS 400mg/L，等等；达标后排入容桂污水处理厂处理。
根据2013年7月11日颁布的《顺德区环境运输和城市管理局关于全区城镇污水处理厂尾水排放执行标准的通知》规定：污水处理厂的尾水COD、氨氮执行《城镇污水处理厂污染物排放标准》（GB18918-2002）一级B标准及《水污染物排放限值》（DB44/26-2001）第二时段一级标准的较严者，其它指标现执行《城镇污水处理厂污染物排放标准》（GB18918-2002）一级B标准：即CODcr 40mg/L，BOD5 20mg/L，NH3-N 8mg/L，SS 20mg/L，总磷1mg/L，动植物油3mg/L，LAS 1mg/L</v>
      </c>
      <c r="C48" s="207"/>
      <c r="D48" s="207"/>
      <c r="E48" s="207"/>
      <c r="F48" s="207"/>
      <c r="G48" s="207"/>
    </row>
    <row r="49" ht="15.15" spans="1:7">
      <c r="A49" s="251" t="s">
        <v>99</v>
      </c>
      <c r="B49" s="252" t="s">
        <v>100</v>
      </c>
      <c r="C49" s="207"/>
      <c r="D49" s="207"/>
      <c r="E49" s="207"/>
      <c r="F49" s="207"/>
      <c r="G49" s="207"/>
    </row>
    <row r="50" ht="15.15" spans="1:7">
      <c r="A50" s="251" t="s">
        <v>101</v>
      </c>
      <c r="B50" s="252" t="s">
        <v>102</v>
      </c>
      <c r="C50" s="207"/>
      <c r="D50" s="207"/>
      <c r="E50" s="207"/>
      <c r="F50" s="207"/>
      <c r="G50" s="207"/>
    </row>
    <row r="51" ht="34.8" customHeight="1" spans="1:7">
      <c r="A51" s="253" t="s">
        <v>103</v>
      </c>
      <c r="B51" s="254" t="s">
        <v>104</v>
      </c>
      <c r="C51" s="255" t="s">
        <v>105</v>
      </c>
      <c r="D51" s="254" t="s">
        <v>106</v>
      </c>
      <c r="E51" s="253" t="s">
        <v>107</v>
      </c>
      <c r="F51" s="256" t="str">
        <f>IFERROR(VLOOKUP(B51,评价名录附!$A$1:$B$100,2,0),"错误")</f>
        <v>除单纯分装和调和外的</v>
      </c>
      <c r="G51" s="207"/>
    </row>
    <row r="52" spans="1:7">
      <c r="A52" s="257" t="s">
        <v>108</v>
      </c>
      <c r="B52" s="258" t="s">
        <v>109</v>
      </c>
      <c r="C52" s="207"/>
      <c r="D52" s="207"/>
      <c r="E52" s="207"/>
      <c r="F52" s="207"/>
      <c r="G52" s="207"/>
    </row>
    <row r="53" spans="1:7">
      <c r="A53" s="259" t="s">
        <v>110</v>
      </c>
      <c r="B53" s="258" t="s">
        <v>111</v>
      </c>
      <c r="C53" s="207"/>
      <c r="D53" s="207"/>
      <c r="E53" s="207"/>
      <c r="F53" s="207"/>
      <c r="G53" s="207"/>
    </row>
    <row r="54" spans="1:7">
      <c r="A54" s="259" t="s">
        <v>112</v>
      </c>
      <c r="B54" s="258" t="s">
        <v>113</v>
      </c>
      <c r="C54" s="207"/>
      <c r="D54" s="207"/>
      <c r="E54" s="207"/>
      <c r="F54" s="207"/>
      <c r="G54" s="207"/>
    </row>
    <row r="55" spans="1:7">
      <c r="A55" s="260" t="s">
        <v>114</v>
      </c>
      <c r="B55" s="261" t="str">
        <f>IFERROR(VLOOKUP(B4,环评单位信息库!$A$1:$D$100,2,0),"错误")</f>
        <v>国环评证乙字第2869号</v>
      </c>
      <c r="C55" s="207"/>
      <c r="D55" s="207"/>
      <c r="E55" s="207"/>
      <c r="F55" s="207"/>
      <c r="G55" s="207"/>
    </row>
    <row r="56" spans="1:7">
      <c r="A56" s="262" t="s">
        <v>115</v>
      </c>
      <c r="B56" s="261">
        <f>IFERROR(VLOOKUP(B4,环评单位信息库!$A$1:$D$100,3,0),"错误")</f>
        <v>0</v>
      </c>
      <c r="C56" s="207"/>
      <c r="D56" s="207"/>
      <c r="E56" s="207"/>
      <c r="F56" s="207"/>
      <c r="G56" s="207"/>
    </row>
    <row r="57" ht="27.6" spans="1:7">
      <c r="A57" s="262" t="s">
        <v>116</v>
      </c>
      <c r="B57" s="261" t="str">
        <f>IFERROR(VLOOKUP(B4,环评单位信息库!$A$1:$D$100,4,0),"错误")</f>
        <v>广州市天河区粤垦路607号力达广场A2栋1803室</v>
      </c>
      <c r="C57" s="207"/>
      <c r="D57" s="207"/>
      <c r="E57" s="207"/>
      <c r="F57" s="207"/>
      <c r="G57" s="207"/>
    </row>
  </sheetData>
  <mergeCells count="1">
    <mergeCell ref="E1:G1"/>
  </mergeCells>
  <dataValidations count="14">
    <dataValidation type="list" allowBlank="1" showInputMessage="1" showErrorMessage="1" sqref="B1">
      <formula1>INDIRECT($D$1)</formula1>
    </dataValidation>
    <dataValidation type="list" allowBlank="1" showInputMessage="1" showErrorMessage="1" sqref="D1">
      <formula1>国民经济大类</formula1>
    </dataValidation>
    <dataValidation type="list" allowBlank="1" showInputMessage="1" sqref="B4">
      <formula1>环评单位信息库!$A$2:$A$100</formula1>
    </dataValidation>
    <dataValidation type="list" allowBlank="1" showInputMessage="1" showErrorMessage="1" sqref="F16">
      <formula1>工艺流程表!$A:$A</formula1>
    </dataValidation>
    <dataValidation type="list" allowBlank="1" showInputMessage="1" showErrorMessage="1" sqref="B22">
      <formula1>"天然气,液化石油气,无"</formula1>
    </dataValidation>
    <dataValidation type="list" allowBlank="1" showInputMessage="1" showErrorMessage="1" sqref="B34">
      <formula1>区镇</formula1>
    </dataValidation>
    <dataValidation type="list" allowBlank="1" showInputMessage="1" showErrorMessage="1" sqref="B35">
      <formula1>声环境!$B$1:$G$1</formula1>
    </dataValidation>
    <dataValidation type="list" allowBlank="1" showInputMessage="1" showErrorMessage="1" sqref="B36">
      <formula1>地下水区域!$B:$B</formula1>
    </dataValidation>
    <dataValidation type="list" showInputMessage="1" showErrorMessage="1" sqref="B40">
      <formula1>INDIRECT($B$34)</formula1>
    </dataValidation>
    <dataValidation type="list" allowBlank="1" showInputMessage="1" showErrorMessage="1" sqref="B41">
      <formula1>"是,否"</formula1>
    </dataValidation>
    <dataValidation type="list" allowBlank="1" showInputMessage="1" showErrorMessage="1" sqref="B49">
      <formula1>"≤50,≤100,＞100"</formula1>
    </dataValidation>
    <dataValidation type="list" allowBlank="1" showInputMessage="1" showErrorMessage="1" sqref="B50">
      <formula1>"＜0,≤500,＞500"</formula1>
    </dataValidation>
    <dataValidation type="list" allowBlank="1" showInputMessage="1" showErrorMessage="1" sqref="B51">
      <formula1>INDIRECT($D$51)</formula1>
    </dataValidation>
    <dataValidation type="list" allowBlank="1" showInputMessage="1" showErrorMessage="1" sqref="D51">
      <formula1>评价大类</formula1>
    </dataValidation>
  </dataValidations>
  <pageMargins left="0.699305555555556" right="0.699305555555556" top="0.75" bottom="0.75" header="0.3" footer="0.3"/>
  <pageSetup paperSize="9" orientation="portrait"/>
  <headerFooter/>
  <ignoredErrors>
    <ignoredError sqref="B5" numberStoredAsText="1"/>
  </ignoredErrors>
  <drawing r:id="rId1"/>
  <legacyDrawing r:id="rId2"/>
  <mc:AlternateContent xmlns:mc="http://schemas.openxmlformats.org/markup-compatibility/2006">
    <mc:Choice Requires="x14">
      <controls>
        <mc:AlternateContent xmlns:mc="http://schemas.openxmlformats.org/markup-compatibility/2006">
          <mc:Choice Requires="x14">
            <control shapeId="1064" name="Button 27" r:id="rId3">
              <controlPr print="0" defaultSize="0">
                <anchor moveWithCells="1" sizeWithCells="1">
                  <from>
                    <xdr:col>2</xdr:col>
                    <xdr:colOff>7620</xdr:colOff>
                    <xdr:row>1</xdr:row>
                    <xdr:rowOff>15240</xdr:rowOff>
                  </from>
                  <to>
                    <xdr:col>3</xdr:col>
                    <xdr:colOff>1036320</xdr:colOff>
                    <xdr:row>4</xdr:row>
                    <xdr:rowOff>83820</xdr:rowOff>
                  </to>
                </anchor>
              </controlPr>
            </control>
          </mc:Choice>
        </mc:AlternateContent>
        <mc:AlternateContent xmlns:mc="http://schemas.openxmlformats.org/markup-compatibility/2006">
          <mc:Choice Requires="x14">
            <control shapeId="1065" name="Button 28" r:id="rId4">
              <controlPr print="0" defaultSize="0">
                <anchor moveWithCells="1" sizeWithCells="1">
                  <from>
                    <xdr:col>3</xdr:col>
                    <xdr:colOff>1051560</xdr:colOff>
                    <xdr:row>14</xdr:row>
                    <xdr:rowOff>7620</xdr:rowOff>
                  </from>
                  <to>
                    <xdr:col>4</xdr:col>
                    <xdr:colOff>121920</xdr:colOff>
                    <xdr:row>16</xdr:row>
                    <xdr:rowOff>22860</xdr:rowOff>
                  </to>
                </anchor>
              </controlPr>
            </control>
          </mc:Choice>
        </mc:AlternateContent>
        <mc:AlternateContent xmlns:mc="http://schemas.openxmlformats.org/markup-compatibility/2006">
          <mc:Choice Requires="x14">
            <control shapeId="1066" name="Button 29" r:id="rId5">
              <controlPr print="0" defaultSize="0">
                <anchor moveWithCells="1" sizeWithCells="1">
                  <from>
                    <xdr:col>1</xdr:col>
                    <xdr:colOff>2209800</xdr:colOff>
                    <xdr:row>8</xdr:row>
                    <xdr:rowOff>53340</xdr:rowOff>
                  </from>
                  <to>
                    <xdr:col>3</xdr:col>
                    <xdr:colOff>1043940</xdr:colOff>
                    <xdr:row>11</xdr:row>
                    <xdr:rowOff>60960</xdr:rowOff>
                  </to>
                </anchor>
              </controlPr>
            </control>
          </mc:Choice>
        </mc:AlternateContent>
        <mc:AlternateContent xmlns:mc="http://schemas.openxmlformats.org/markup-compatibility/2006">
          <mc:Choice Requires="x14">
            <control shapeId="1067" name="Button 30" r:id="rId6">
              <controlPr print="0" defaultSize="0">
                <anchor moveWithCells="1" sizeWithCells="1">
                  <from>
                    <xdr:col>2</xdr:col>
                    <xdr:colOff>0</xdr:colOff>
                    <xdr:row>13</xdr:row>
                    <xdr:rowOff>198120</xdr:rowOff>
                  </from>
                  <to>
                    <xdr:col>3</xdr:col>
                    <xdr:colOff>1021080</xdr:colOff>
                    <xdr:row>17</xdr:row>
                    <xdr:rowOff>22860</xdr:rowOff>
                  </to>
                </anchor>
              </controlPr>
            </control>
          </mc:Choice>
        </mc:AlternateContent>
        <mc:AlternateContent xmlns:mc="http://schemas.openxmlformats.org/markup-compatibility/2006">
          <mc:Choice Requires="x14">
            <control shapeId="1068" name="Button 32" r:id="rId7">
              <controlPr print="0" defaultSize="0">
                <anchor moveWithCells="1" sizeWithCells="1">
                  <from>
                    <xdr:col>5</xdr:col>
                    <xdr:colOff>45720</xdr:colOff>
                    <xdr:row>16</xdr:row>
                    <xdr:rowOff>15240</xdr:rowOff>
                  </from>
                  <to>
                    <xdr:col>6</xdr:col>
                    <xdr:colOff>53340</xdr:colOff>
                    <xdr:row>18</xdr:row>
                    <xdr:rowOff>68580</xdr:rowOff>
                  </to>
                </anchor>
              </controlPr>
            </control>
          </mc:Choice>
        </mc:AlternateContent>
        <mc:AlternateContent xmlns:mc="http://schemas.openxmlformats.org/markup-compatibility/2006">
          <mc:Choice Requires="x14">
            <control shapeId="1069" name="Button 36" r:id="rId8">
              <controlPr print="0" defaultSize="0">
                <anchor moveWithCells="1" sizeWithCells="1">
                  <from>
                    <xdr:col>5</xdr:col>
                    <xdr:colOff>45720</xdr:colOff>
                    <xdr:row>18</xdr:row>
                    <xdr:rowOff>99060</xdr:rowOff>
                  </from>
                  <to>
                    <xdr:col>6</xdr:col>
                    <xdr:colOff>53340</xdr:colOff>
                    <xdr:row>20</xdr:row>
                    <xdr:rowOff>167640</xdr:rowOff>
                  </to>
                </anchor>
              </controlPr>
            </control>
          </mc:Choice>
        </mc:AlternateContent>
        <mc:AlternateContent xmlns:mc="http://schemas.openxmlformats.org/markup-compatibility/2006">
          <mc:Choice Requires="x14">
            <control shapeId="1070" name="Button 27" r:id="rId9">
              <controlPr print="0" defaultSize="0">
                <anchor moveWithCells="1" sizeWithCells="1">
                  <from>
                    <xdr:col>2</xdr:col>
                    <xdr:colOff>0</xdr:colOff>
                    <xdr:row>4</xdr:row>
                    <xdr:rowOff>99060</xdr:rowOff>
                  </from>
                  <to>
                    <xdr:col>3</xdr:col>
                    <xdr:colOff>1036320</xdr:colOff>
                    <xdr:row>8</xdr:row>
                    <xdr:rowOff>30480</xdr:rowOff>
                  </to>
                </anchor>
              </controlPr>
            </control>
          </mc:Choice>
        </mc:AlternateContent>
        <mc:AlternateContent xmlns:mc="http://schemas.openxmlformats.org/markup-compatibility/2006">
          <mc:Choice Requires="x14">
            <control shapeId="1073" name="Button 29" r:id="rId10">
              <controlPr print="0" defaultSize="0">
                <anchor moveWithCells="1" sizeWithCells="1">
                  <from>
                    <xdr:col>1</xdr:col>
                    <xdr:colOff>2209800</xdr:colOff>
                    <xdr:row>11</xdr:row>
                    <xdr:rowOff>53340</xdr:rowOff>
                  </from>
                  <to>
                    <xdr:col>2</xdr:col>
                    <xdr:colOff>762000</xdr:colOff>
                    <xdr:row>13</xdr:row>
                    <xdr:rowOff>182880</xdr:rowOff>
                  </to>
                </anchor>
              </controlPr>
            </control>
          </mc:Choice>
        </mc:AlternateContent>
        <mc:AlternateContent xmlns:mc="http://schemas.openxmlformats.org/markup-compatibility/2006">
          <mc:Choice Requires="x14">
            <control shapeId="1074" name="Button 29" r:id="rId11">
              <controlPr print="0" defaultSize="0">
                <anchor moveWithCells="1" sizeWithCells="1">
                  <from>
                    <xdr:col>2</xdr:col>
                    <xdr:colOff>762000</xdr:colOff>
                    <xdr:row>11</xdr:row>
                    <xdr:rowOff>53340</xdr:rowOff>
                  </from>
                  <to>
                    <xdr:col>3</xdr:col>
                    <xdr:colOff>769620</xdr:colOff>
                    <xdr:row>13</xdr:row>
                    <xdr:rowOff>182880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tabColor theme="9" tint="0.399975585192419"/>
  </sheetPr>
  <dimension ref="A1:C15"/>
  <sheetViews>
    <sheetView topLeftCell="A16" workbookViewId="0">
      <selection activeCell="B3" sqref="B3"/>
    </sheetView>
  </sheetViews>
  <sheetFormatPr defaultColWidth="9" defaultRowHeight="13.8" outlineLevelCol="2"/>
  <cols>
    <col min="1" max="1" width="33.8888888888889" style="191" customWidth="1"/>
    <col min="2" max="2" width="23.7777777777778" style="191" customWidth="1"/>
    <col min="3" max="3" width="11.6666666666667" customWidth="1"/>
  </cols>
  <sheetData>
    <row r="1" ht="14.4" spans="1:2">
      <c r="A1" s="192" t="s">
        <v>117</v>
      </c>
      <c r="B1" s="193">
        <f>信息!B16</f>
        <v>8</v>
      </c>
    </row>
    <row r="2" ht="14.4" spans="1:2">
      <c r="A2" s="192" t="s">
        <v>118</v>
      </c>
      <c r="B2" s="193">
        <f>信息!B17</f>
        <v>0</v>
      </c>
    </row>
    <row r="3" ht="14.4" spans="1:3">
      <c r="A3" s="192" t="s">
        <v>119</v>
      </c>
      <c r="B3" s="194">
        <v>0</v>
      </c>
      <c r="C3" t="s">
        <v>120</v>
      </c>
    </row>
    <row r="4" ht="14.4" spans="1:2">
      <c r="A4" s="192" t="s">
        <v>121</v>
      </c>
      <c r="B4" s="195">
        <f>IFERROR(B1+B2,0)</f>
        <v>8</v>
      </c>
    </row>
    <row r="5" ht="14.4" spans="1:2">
      <c r="A5" s="196" t="s">
        <v>122</v>
      </c>
      <c r="B5" s="195" t="str">
        <f>IFERROR(IF(B2=0,"不设","设有"),"不设")</f>
        <v>不设</v>
      </c>
    </row>
    <row r="6" ht="14.4" spans="1:2">
      <c r="A6" s="196" t="s">
        <v>123</v>
      </c>
      <c r="B6" s="197" t="str">
        <f>IFERROR(IF(B3=0,"不设","设有"),"不设")</f>
        <v>不设</v>
      </c>
    </row>
    <row r="7" ht="72" spans="1:2">
      <c r="A7" s="182" t="s">
        <v>124</v>
      </c>
      <c r="B7" s="197" t="str">
        <f>IFERROR(IF(B3=0,B13,B12),"")</f>
        <v>本项目有员工8人，员工不在厂区内住宿，根据《广东省用水定额》（DB44/T 1461-2014），生活用水按0.04 m3/日·人计，</v>
      </c>
    </row>
    <row r="8" customFormat="1" ht="28.8" spans="1:2">
      <c r="A8" s="182" t="s">
        <v>125</v>
      </c>
      <c r="B8" s="198" t="str">
        <f>IFERROR(IF(B3&gt;0,B9,IF(B2&gt;0,B10,B11)),"")</f>
        <v>项目职工人数为8人，均不在厂区内食宿。</v>
      </c>
    </row>
    <row r="9" customFormat="1" ht="57.6" spans="1:2">
      <c r="A9" s="199" t="s">
        <v>126</v>
      </c>
      <c r="B9" s="200" t="str">
        <f>"项目职工人数为"&amp;B4&amp;"人，住宿人数"&amp;B2&amp;"人，非住宿人数"&amp;B1&amp;"人。项目设置饭堂，饭堂每天就餐人数约为"&amp;B3&amp;"人。"</f>
        <v>项目职工人数为8人，住宿人数0人，非住宿人数8人。项目设置饭堂，饭堂每天就餐人数约为0人。</v>
      </c>
    </row>
    <row r="10" customFormat="1" ht="55.5" customHeight="1" spans="1:2">
      <c r="A10" s="199" t="s">
        <v>127</v>
      </c>
      <c r="B10" s="200" t="str">
        <f>"项目职工人数为"&amp;B4&amp;"人，住宿人数"&amp;B2&amp;"人，非住宿人数"&amp;B1&amp;"人。项目不设置饭堂。"</f>
        <v>项目职工人数为8人，住宿人数0人，非住宿人数8人。项目不设置饭堂。</v>
      </c>
    </row>
    <row r="11" customFormat="1" ht="55.5" customHeight="1" spans="1:2">
      <c r="A11" s="199" t="s">
        <v>128</v>
      </c>
      <c r="B11" s="200" t="str">
        <f>"项目职工人数为"&amp;B4&amp;"人，均不在厂区内食宿。"</f>
        <v>项目职工人数为8人，均不在厂区内食宿。</v>
      </c>
    </row>
    <row r="12" ht="86.4" spans="1:2">
      <c r="A12" s="199" t="s">
        <v>129</v>
      </c>
      <c r="B12" s="201" t="str">
        <f>"本项目有员工"&amp;B4&amp;"人，住宿人数为"&amp;B2&amp;"人，非住宿人数为"&amp;B1&amp;"人，根据《广东省用水定额》（DB44/T 1461-2014），生活用水按0.08立方米/日·人计，"</f>
        <v>本项目有员工8人，住宿人数为0人，非住宿人数为8人，根据《广东省用水定额》（DB44/T 1461-2014），生活用水按0.08立方米/日·人计，</v>
      </c>
    </row>
    <row r="13" ht="72" spans="1:2">
      <c r="A13" s="199" t="s">
        <v>130</v>
      </c>
      <c r="B13" s="201" t="str">
        <f>"本项目有员工"&amp;B4&amp;"人，员工不在厂区内住宿，根据《广东省用水定额》（DB44/T 1461-2014），生活用水按0.04 m3/日·人计，"</f>
        <v>本项目有员工8人，员工不在厂区内住宿，根据《广东省用水定额》（DB44/T 1461-2014），生活用水按0.04 m3/日·人计，</v>
      </c>
    </row>
    <row r="14" ht="15.6" spans="1:1">
      <c r="A14" s="202"/>
    </row>
    <row r="15" spans="1:1">
      <c r="A15" s="203"/>
    </row>
  </sheetData>
  <pageMargins left="0.699305555555556" right="0.699305555555556"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theme="9" tint="0.399975585192419"/>
  </sheetPr>
  <dimension ref="A1:J7"/>
  <sheetViews>
    <sheetView workbookViewId="0">
      <selection activeCell="E16" sqref="E16"/>
    </sheetView>
  </sheetViews>
  <sheetFormatPr defaultColWidth="9" defaultRowHeight="14.4" outlineLevelRow="6"/>
  <cols>
    <col min="1" max="1" width="8.44444444444444" style="180" customWidth="1"/>
    <col min="2" max="2" width="38.2222222222222" style="180" customWidth="1"/>
    <col min="3" max="3" width="29.3333333333333" style="180" customWidth="1"/>
    <col min="4" max="9" width="9" style="180"/>
    <col min="10" max="10" width="32.4444444444444" style="180" customWidth="1"/>
    <col min="11" max="16384" width="9" style="180"/>
  </cols>
  <sheetData>
    <row r="1" spans="1:10">
      <c r="A1" s="186" t="s">
        <v>131</v>
      </c>
      <c r="B1" s="187" t="s">
        <v>132</v>
      </c>
      <c r="C1" s="187" t="s">
        <v>133</v>
      </c>
      <c r="I1" s="190" t="s">
        <v>134</v>
      </c>
      <c r="J1"/>
    </row>
    <row r="2" ht="28.8" spans="1:10">
      <c r="A2" s="188" t="s">
        <v>135</v>
      </c>
      <c r="B2" s="188" t="s">
        <v>136</v>
      </c>
      <c r="C2" s="188"/>
      <c r="I2" s="188" t="s">
        <v>135</v>
      </c>
      <c r="J2" s="188" t="s">
        <v>136</v>
      </c>
    </row>
    <row r="3" ht="28.8" spans="1:10">
      <c r="A3" s="188" t="s">
        <v>137</v>
      </c>
      <c r="B3" s="188" t="s">
        <v>138</v>
      </c>
      <c r="C3" s="188"/>
      <c r="I3" s="188" t="s">
        <v>137</v>
      </c>
      <c r="J3" s="188" t="s">
        <v>138</v>
      </c>
    </row>
    <row r="4" ht="28.8" spans="1:10">
      <c r="A4" s="188" t="s">
        <v>139</v>
      </c>
      <c r="B4" s="188" t="s">
        <v>140</v>
      </c>
      <c r="C4" s="188"/>
      <c r="I4" s="188" t="s">
        <v>139</v>
      </c>
      <c r="J4" s="188" t="s">
        <v>140</v>
      </c>
    </row>
    <row r="5" ht="57.6" spans="1:10">
      <c r="A5" s="188" t="s">
        <v>141</v>
      </c>
      <c r="B5" s="188" t="s">
        <v>142</v>
      </c>
      <c r="C5" s="188"/>
      <c r="I5" s="188" t="s">
        <v>141</v>
      </c>
      <c r="J5" s="188" t="s">
        <v>142</v>
      </c>
    </row>
    <row r="6" ht="28.8" spans="1:10">
      <c r="A6" s="189" t="s">
        <v>143</v>
      </c>
      <c r="B6" s="188" t="str">
        <f>"供水来源为市政自来水，生活污水"&amp;信息!B42&amp;"；"</f>
        <v>供水来源为市政自来水，生活污水经三级化粪处理后排入污水处理厂；</v>
      </c>
      <c r="C6" s="179"/>
      <c r="I6" s="189" t="s">
        <v>143</v>
      </c>
      <c r="J6" s="188" t="s">
        <v>144</v>
      </c>
    </row>
    <row r="7" ht="28.8" spans="1:3">
      <c r="A7" s="189"/>
      <c r="B7" s="188" t="s">
        <v>144</v>
      </c>
      <c r="C7" s="179"/>
    </row>
  </sheetData>
  <mergeCells count="1">
    <mergeCell ref="A6:A7"/>
  </mergeCells>
  <pageMargins left="0.699305555555556" right="0.699305555555556"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01379" name="Button 3" r:id="rId3">
              <controlPr print="0" defaultSize="0">
                <anchor moveWithCells="1" sizeWithCells="1">
                  <from>
                    <xdr:col>4</xdr:col>
                    <xdr:colOff>22860</xdr:colOff>
                    <xdr:row>0</xdr:row>
                    <xdr:rowOff>76200</xdr:rowOff>
                  </from>
                  <to>
                    <xdr:col>6</xdr:col>
                    <xdr:colOff>312420</xdr:colOff>
                    <xdr:row>3</xdr:row>
                    <xdr:rowOff>68580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theme="9" tint="0.399975585192419"/>
  </sheetPr>
  <dimension ref="A1:E2"/>
  <sheetViews>
    <sheetView workbookViewId="0">
      <selection activeCell="E16" sqref="E16"/>
    </sheetView>
  </sheetViews>
  <sheetFormatPr defaultColWidth="9" defaultRowHeight="13.8" outlineLevelRow="1" outlineLevelCol="4"/>
  <cols>
    <col min="3" max="3" width="5.44444444444444" customWidth="1"/>
  </cols>
  <sheetData>
    <row r="1" ht="14.4" spans="1:5">
      <c r="A1" s="160" t="s">
        <v>145</v>
      </c>
      <c r="B1" s="160" t="s">
        <v>146</v>
      </c>
      <c r="C1" s="160" t="s">
        <v>147</v>
      </c>
      <c r="D1" s="178" t="s">
        <v>9</v>
      </c>
      <c r="E1" s="178" t="s">
        <v>148</v>
      </c>
    </row>
    <row r="2" ht="14.4" spans="1:5">
      <c r="A2" s="180" t="s">
        <v>149</v>
      </c>
      <c r="B2" s="180" t="s">
        <v>150</v>
      </c>
      <c r="C2" s="180">
        <v>1.5</v>
      </c>
      <c r="D2" s="180"/>
      <c r="E2" s="180" t="s">
        <v>151</v>
      </c>
    </row>
  </sheetData>
  <pageMargins left="0.699305555555556" right="0.699305555555556"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69635" name="Button 3" r:id="rId3">
              <controlPr print="0" defaultSize="0">
                <anchor moveWithCells="1" sizeWithCells="1">
                  <from>
                    <xdr:col>11</xdr:col>
                    <xdr:colOff>541020</xdr:colOff>
                    <xdr:row>2</xdr:row>
                    <xdr:rowOff>121920</xdr:rowOff>
                  </from>
                  <to>
                    <xdr:col>13</xdr:col>
                    <xdr:colOff>160020</xdr:colOff>
                    <xdr:row>4</xdr:row>
                    <xdr:rowOff>137160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theme="9" tint="0.399975585192419"/>
  </sheetPr>
  <dimension ref="A1:I12"/>
  <sheetViews>
    <sheetView workbookViewId="0">
      <selection activeCell="E16" sqref="E16"/>
    </sheetView>
  </sheetViews>
  <sheetFormatPr defaultColWidth="8.88888888888889" defaultRowHeight="13.8"/>
  <cols>
    <col min="1" max="1" width="9" style="30" customWidth="1"/>
    <col min="2" max="2" width="8.22222222222222" style="30" customWidth="1"/>
    <col min="3" max="3" width="10.3333333333333" style="30" customWidth="1"/>
    <col min="4" max="4" width="26.1111111111111" style="30" customWidth="1"/>
    <col min="5" max="5" width="11" customWidth="1"/>
    <col min="7" max="7" width="11" customWidth="1"/>
    <col min="9" max="9" width="22.4444444444444" customWidth="1"/>
  </cols>
  <sheetData>
    <row r="1" ht="14.4" spans="1:7">
      <c r="A1" s="160" t="s">
        <v>152</v>
      </c>
      <c r="B1" s="160" t="s">
        <v>146</v>
      </c>
      <c r="C1" s="160" t="s">
        <v>147</v>
      </c>
      <c r="D1" s="160" t="s">
        <v>9</v>
      </c>
      <c r="E1" s="160" t="s">
        <v>153</v>
      </c>
      <c r="F1" s="160" t="s">
        <v>154</v>
      </c>
      <c r="G1" s="178" t="s">
        <v>155</v>
      </c>
    </row>
    <row r="2" ht="14.4" spans="1:9">
      <c r="A2" s="166" t="s">
        <v>156</v>
      </c>
      <c r="B2" s="162" t="s">
        <v>150</v>
      </c>
      <c r="C2" s="162">
        <v>2</v>
      </c>
      <c r="D2" s="162"/>
      <c r="E2" s="179" t="s">
        <v>90</v>
      </c>
      <c r="F2" s="179" t="s">
        <v>157</v>
      </c>
      <c r="G2" s="180">
        <v>0.01</v>
      </c>
      <c r="I2" s="165"/>
    </row>
    <row r="3" ht="14.4" spans="1:7">
      <c r="A3" s="166" t="s">
        <v>158</v>
      </c>
      <c r="B3" s="162" t="s">
        <v>150</v>
      </c>
      <c r="C3" s="162">
        <v>0.3</v>
      </c>
      <c r="D3" s="162"/>
      <c r="E3" s="179" t="s">
        <v>159</v>
      </c>
      <c r="F3" s="179" t="s">
        <v>157</v>
      </c>
      <c r="G3" s="180"/>
    </row>
    <row r="4" ht="14.4" spans="1:7">
      <c r="A4" s="162" t="s">
        <v>160</v>
      </c>
      <c r="B4" s="162" t="s">
        <v>161</v>
      </c>
      <c r="C4" s="160">
        <v>100</v>
      </c>
      <c r="D4" s="160"/>
      <c r="E4" s="181" t="s">
        <v>159</v>
      </c>
      <c r="F4" s="179" t="s">
        <v>162</v>
      </c>
      <c r="G4" s="180"/>
    </row>
    <row r="5" ht="14.4" spans="1:7">
      <c r="A5" s="182" t="s">
        <v>163</v>
      </c>
      <c r="B5" s="162" t="s">
        <v>150</v>
      </c>
      <c r="C5" s="182">
        <v>0.2</v>
      </c>
      <c r="D5" s="182"/>
      <c r="E5" s="181" t="s">
        <v>159</v>
      </c>
      <c r="F5" s="179" t="s">
        <v>157</v>
      </c>
      <c r="G5" s="180"/>
    </row>
    <row r="6" spans="1:6">
      <c r="A6" s="183"/>
      <c r="B6" s="174"/>
      <c r="C6" s="184"/>
      <c r="D6" s="184"/>
      <c r="E6" s="12"/>
      <c r="F6" s="12"/>
    </row>
    <row r="7" spans="1:6">
      <c r="A7" s="185"/>
      <c r="B7" s="174"/>
      <c r="C7" s="185"/>
      <c r="D7" s="185"/>
      <c r="E7" s="12"/>
      <c r="F7" s="12"/>
    </row>
    <row r="8" spans="1:6">
      <c r="A8" s="185"/>
      <c r="B8" s="174"/>
      <c r="C8" s="185"/>
      <c r="D8" s="185"/>
      <c r="E8" s="12"/>
      <c r="F8" s="12"/>
    </row>
    <row r="9" spans="2:6">
      <c r="B9" s="174"/>
      <c r="C9" s="184"/>
      <c r="D9" s="184"/>
      <c r="E9" s="12"/>
      <c r="F9" s="12"/>
    </row>
    <row r="10" spans="1:6">
      <c r="A10" s="71"/>
      <c r="B10" s="174"/>
      <c r="C10" s="185"/>
      <c r="D10" s="185"/>
      <c r="E10" s="12"/>
      <c r="F10" s="12"/>
    </row>
    <row r="11" spans="1:6">
      <c r="A11" s="71"/>
      <c r="B11" s="174"/>
      <c r="C11" s="185"/>
      <c r="D11" s="185"/>
      <c r="E11" s="12"/>
      <c r="F11" s="12"/>
    </row>
    <row r="12" spans="1:6">
      <c r="A12" s="70"/>
      <c r="B12" s="174"/>
      <c r="C12" s="184"/>
      <c r="D12" s="184"/>
      <c r="E12" s="12"/>
      <c r="F12" s="12"/>
    </row>
  </sheetData>
  <dataValidations count="1">
    <dataValidation type="list" allowBlank="1" showInputMessage="1" showErrorMessage="1" sqref="E9 E12 E2:E6">
      <formula1>"是,否"</formula1>
    </dataValidation>
  </dataValidations>
  <pageMargins left="0.699305555555556" right="0.699305555555556"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9939" name="Button 3" r:id="rId3">
              <controlPr print="0" defaultSize="0">
                <anchor moveWithCells="1" sizeWithCells="1">
                  <from>
                    <xdr:col>9</xdr:col>
                    <xdr:colOff>144780</xdr:colOff>
                    <xdr:row>2</xdr:row>
                    <xdr:rowOff>83820</xdr:rowOff>
                  </from>
                  <to>
                    <xdr:col>10</xdr:col>
                    <xdr:colOff>457200</xdr:colOff>
                    <xdr:row>4</xdr:row>
                    <xdr:rowOff>99060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theme="9" tint="0.399975585192419"/>
  </sheetPr>
  <dimension ref="A1:F22"/>
  <sheetViews>
    <sheetView workbookViewId="0">
      <selection activeCell="E16" sqref="E16"/>
    </sheetView>
  </sheetViews>
  <sheetFormatPr defaultColWidth="8.88888888888889" defaultRowHeight="13.8" outlineLevelCol="5"/>
  <cols>
    <col min="1" max="1" width="9" style="30" customWidth="1"/>
    <col min="2" max="3" width="8.88888888888889" style="30"/>
  </cols>
  <sheetData>
    <row r="1" ht="14.4" spans="1:4">
      <c r="A1" s="160" t="s">
        <v>164</v>
      </c>
      <c r="B1" s="160" t="s">
        <v>146</v>
      </c>
      <c r="C1" s="160" t="s">
        <v>165</v>
      </c>
      <c r="D1" s="160" t="s">
        <v>9</v>
      </c>
    </row>
    <row r="2" ht="14.4" spans="1:6">
      <c r="A2" s="161" t="s">
        <v>166</v>
      </c>
      <c r="B2" s="162" t="s">
        <v>167</v>
      </c>
      <c r="C2" s="163">
        <v>1</v>
      </c>
      <c r="D2" s="164"/>
      <c r="F2" s="165"/>
    </row>
    <row r="3" ht="14.4" spans="1:4">
      <c r="A3" s="166" t="s">
        <v>168</v>
      </c>
      <c r="B3" s="162" t="s">
        <v>167</v>
      </c>
      <c r="C3" s="163">
        <v>2</v>
      </c>
      <c r="D3" s="162"/>
    </row>
    <row r="4" ht="28.8" spans="1:4">
      <c r="A4" s="166" t="s">
        <v>169</v>
      </c>
      <c r="B4" s="162" t="s">
        <v>167</v>
      </c>
      <c r="C4" s="163">
        <v>1</v>
      </c>
      <c r="D4" s="162"/>
    </row>
    <row r="5" ht="14.4" spans="1:4">
      <c r="A5" s="166" t="s">
        <v>170</v>
      </c>
      <c r="B5" s="162" t="s">
        <v>167</v>
      </c>
      <c r="C5" s="163">
        <v>1</v>
      </c>
      <c r="D5" s="162"/>
    </row>
    <row r="6" ht="14.4" spans="1:4">
      <c r="A6" s="167" t="s">
        <v>171</v>
      </c>
      <c r="B6" s="163" t="s">
        <v>167</v>
      </c>
      <c r="C6" s="168">
        <v>2</v>
      </c>
      <c r="D6" s="169"/>
    </row>
    <row r="7" ht="14.4" spans="1:4">
      <c r="A7" s="163" t="s">
        <v>172</v>
      </c>
      <c r="B7" s="170" t="s">
        <v>167</v>
      </c>
      <c r="C7" s="170">
        <v>4</v>
      </c>
      <c r="D7" s="169"/>
    </row>
    <row r="8" ht="14.4" spans="1:4">
      <c r="A8" s="171" t="s">
        <v>173</v>
      </c>
      <c r="B8" s="172" t="s">
        <v>167</v>
      </c>
      <c r="C8" s="173">
        <v>1</v>
      </c>
      <c r="D8" s="169"/>
    </row>
    <row r="9" ht="21.6" spans="1:4">
      <c r="A9" s="171" t="s">
        <v>174</v>
      </c>
      <c r="B9" s="172" t="s">
        <v>167</v>
      </c>
      <c r="C9" s="173">
        <v>1</v>
      </c>
      <c r="D9" s="169"/>
    </row>
    <row r="10" ht="14.4" spans="1:4">
      <c r="A10" s="171" t="s">
        <v>175</v>
      </c>
      <c r="B10" s="172" t="s">
        <v>176</v>
      </c>
      <c r="C10" s="173">
        <v>2</v>
      </c>
      <c r="D10" s="169"/>
    </row>
    <row r="11" ht="14.4" spans="1:4">
      <c r="A11" s="169"/>
      <c r="B11" s="174"/>
      <c r="C11" s="175"/>
      <c r="D11" s="169"/>
    </row>
    <row r="12" ht="14.4" spans="1:4">
      <c r="A12" s="169"/>
      <c r="B12" s="174"/>
      <c r="C12" s="175"/>
      <c r="D12" s="169"/>
    </row>
    <row r="13" ht="14.4" spans="1:4">
      <c r="A13" s="70"/>
      <c r="B13" s="174"/>
      <c r="C13" s="174"/>
      <c r="D13" s="176"/>
    </row>
    <row r="14" ht="14.4" spans="1:4">
      <c r="A14" s="71"/>
      <c r="B14" s="174"/>
      <c r="C14" s="175"/>
      <c r="D14" s="176"/>
    </row>
    <row r="15" ht="14.4" spans="4:4">
      <c r="D15" s="176"/>
    </row>
    <row r="16" ht="14.4" spans="1:4">
      <c r="A16" s="176"/>
      <c r="B16" s="176"/>
      <c r="C16" s="177"/>
      <c r="D16" s="176"/>
    </row>
    <row r="17" ht="14.4" spans="1:4">
      <c r="A17" s="176"/>
      <c r="B17" s="176"/>
      <c r="C17" s="177"/>
      <c r="D17" s="176"/>
    </row>
    <row r="18" ht="14.4" spans="1:4">
      <c r="A18" s="176"/>
      <c r="B18" s="176"/>
      <c r="C18" s="177"/>
      <c r="D18" s="176"/>
    </row>
    <row r="19" ht="14.4" spans="1:4">
      <c r="A19" s="176"/>
      <c r="B19" s="176"/>
      <c r="C19" s="177"/>
      <c r="D19" s="176"/>
    </row>
    <row r="20" ht="14.4" spans="1:4">
      <c r="A20" s="176"/>
      <c r="B20" s="176"/>
      <c r="C20" s="177"/>
      <c r="D20" s="176"/>
    </row>
    <row r="21" ht="14.4" spans="1:4">
      <c r="A21" s="176"/>
      <c r="B21" s="176"/>
      <c r="C21" s="177"/>
      <c r="D21" s="176"/>
    </row>
    <row r="22" ht="14.4" spans="1:3">
      <c r="A22" s="176"/>
      <c r="B22" s="176"/>
      <c r="C22" s="177"/>
    </row>
  </sheetData>
  <pageMargins left="0.699305555555556" right="0.699305555555556"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40962" name="Button 2" r:id="rId3">
              <controlPr print="0" defaultSize="0">
                <anchor moveWithCells="1" sizeWithCells="1">
                  <from>
                    <xdr:col>5</xdr:col>
                    <xdr:colOff>388620</xdr:colOff>
                    <xdr:row>5</xdr:row>
                    <xdr:rowOff>83820</xdr:rowOff>
                  </from>
                  <to>
                    <xdr:col>7</xdr:col>
                    <xdr:colOff>30480</xdr:colOff>
                    <xdr:row>7</xdr:row>
                    <xdr:rowOff>99060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theme="9" tint="0.399975585192419"/>
  </sheetPr>
  <dimension ref="A1:J10"/>
  <sheetViews>
    <sheetView topLeftCell="A4" workbookViewId="0">
      <selection activeCell="A22" sqref="A22"/>
    </sheetView>
  </sheetViews>
  <sheetFormatPr defaultColWidth="9" defaultRowHeight="13.8"/>
  <sheetData>
    <row r="1" ht="29.55" spans="1:5">
      <c r="A1" s="148" t="s">
        <v>177</v>
      </c>
      <c r="B1" s="149" t="s">
        <v>178</v>
      </c>
      <c r="C1" s="149" t="s">
        <v>179</v>
      </c>
      <c r="D1" s="149" t="s">
        <v>180</v>
      </c>
      <c r="E1" s="149" t="s">
        <v>181</v>
      </c>
    </row>
    <row r="2" ht="115.95" spans="1:5">
      <c r="A2" s="150" t="s">
        <v>182</v>
      </c>
      <c r="B2" s="151" t="s">
        <v>183</v>
      </c>
      <c r="C2" s="151" t="s">
        <v>184</v>
      </c>
      <c r="D2" s="152">
        <v>370</v>
      </c>
      <c r="E2" s="151" t="str">
        <f>"《地表水环境质量标准》（GB3838-2002）中的"&amp;信息!B45&amp;"标准；"</f>
        <v>《地表水环境质量标准》（GB3838-2002）中的Ⅲ类标准；</v>
      </c>
    </row>
    <row r="3" ht="14.55" spans="1:10">
      <c r="A3" s="153"/>
      <c r="B3" s="152"/>
      <c r="C3" s="152"/>
      <c r="D3" s="152"/>
      <c r="E3" s="152"/>
      <c r="J3" t="s">
        <v>185</v>
      </c>
    </row>
    <row r="4" ht="14.55" spans="1:5">
      <c r="A4" s="154"/>
      <c r="B4" s="152"/>
      <c r="C4" s="152"/>
      <c r="D4" s="152"/>
      <c r="E4" s="152"/>
    </row>
    <row r="5" ht="100.95" spans="1:5">
      <c r="A5" s="155" t="s">
        <v>186</v>
      </c>
      <c r="B5" s="156"/>
      <c r="C5" s="152" t="s">
        <v>187</v>
      </c>
      <c r="D5" s="152" t="s">
        <v>188</v>
      </c>
      <c r="E5" s="151" t="s">
        <v>189</v>
      </c>
    </row>
    <row r="6" ht="115.95" spans="1:5">
      <c r="A6" s="155" t="s">
        <v>190</v>
      </c>
      <c r="B6" s="156"/>
      <c r="C6" s="152" t="s">
        <v>187</v>
      </c>
      <c r="D6" s="152" t="s">
        <v>188</v>
      </c>
      <c r="E6" s="151" t="str">
        <f>"《声环境质量标准》（GB3096-2008）中的"&amp;信息!B35&amp;"标准；"</f>
        <v>《声环境质量标准》（GB3096-2008）中的2类标准；</v>
      </c>
    </row>
    <row r="7" ht="60" customHeight="1" spans="1:10">
      <c r="A7" s="155" t="s">
        <v>191</v>
      </c>
      <c r="B7" s="156"/>
      <c r="C7" s="151" t="s">
        <v>184</v>
      </c>
      <c r="D7" s="152">
        <v>120</v>
      </c>
      <c r="E7" s="150" t="s">
        <v>192</v>
      </c>
      <c r="J7" t="s">
        <v>193</v>
      </c>
    </row>
    <row r="8" ht="60" customHeight="1" spans="1:5">
      <c r="A8" s="157"/>
      <c r="B8" s="152"/>
      <c r="C8" s="152"/>
      <c r="D8" s="152"/>
      <c r="E8" s="150" t="s">
        <v>192</v>
      </c>
    </row>
    <row r="9" ht="60" customHeight="1" spans="1:10">
      <c r="A9" s="158"/>
      <c r="B9" s="152"/>
      <c r="C9" s="152"/>
      <c r="D9" s="152"/>
      <c r="E9" s="150" t="s">
        <v>192</v>
      </c>
      <c r="J9" t="s">
        <v>194</v>
      </c>
    </row>
    <row r="10" ht="15" customHeight="1" spans="1:5">
      <c r="A10" s="154" t="s">
        <v>195</v>
      </c>
      <c r="B10" s="155" t="s">
        <v>196</v>
      </c>
      <c r="C10" s="159"/>
      <c r="D10" s="159"/>
      <c r="E10" s="156"/>
    </row>
  </sheetData>
  <mergeCells count="5">
    <mergeCell ref="A5:B5"/>
    <mergeCell ref="A6:B6"/>
    <mergeCell ref="A7:B7"/>
    <mergeCell ref="B10:E10"/>
    <mergeCell ref="A2:A4"/>
  </mergeCells>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tabColor theme="9" tint="0.399975585192419"/>
  </sheetPr>
  <dimension ref="A1:I5"/>
  <sheetViews>
    <sheetView workbookViewId="0">
      <selection activeCell="E16" sqref="E16"/>
    </sheetView>
  </sheetViews>
  <sheetFormatPr defaultColWidth="9" defaultRowHeight="13.8" outlineLevelRow="4"/>
  <cols>
    <col min="1" max="1" width="27.4444444444444" customWidth="1"/>
    <col min="2" max="2" width="11.3333333333333" customWidth="1"/>
    <col min="3" max="4" width="11.4444444444444" customWidth="1"/>
    <col min="5" max="5" width="47.6666666666667" customWidth="1"/>
  </cols>
  <sheetData>
    <row r="1" ht="58.95" spans="1:9">
      <c r="A1" s="141" t="s">
        <v>197</v>
      </c>
      <c r="B1" s="142" t="s">
        <v>198</v>
      </c>
      <c r="C1" s="141" t="s">
        <v>199</v>
      </c>
      <c r="D1" s="141" t="s">
        <v>200</v>
      </c>
      <c r="E1" s="141" t="s">
        <v>201</v>
      </c>
      <c r="I1" s="147" t="s">
        <v>202</v>
      </c>
    </row>
    <row r="2" ht="28.95" spans="1:5">
      <c r="A2" s="141" t="s">
        <v>203</v>
      </c>
      <c r="B2" s="143">
        <f>VLOOKUP($A2&amp;$E2,废气排放标准库!$A:$H,5,0)</f>
        <v>120</v>
      </c>
      <c r="C2" s="143">
        <f>VLOOKUP($A2&amp;$E2,废气排放标准库!$A:$H,6,0)</f>
        <v>5.1</v>
      </c>
      <c r="D2" s="143">
        <f>VLOOKUP($A2&amp;$E2,废气排放标准库!$A:$H,7,0)</f>
        <v>2</v>
      </c>
      <c r="E2" s="144" t="s">
        <v>204</v>
      </c>
    </row>
    <row r="3" ht="15.15" spans="1:5">
      <c r="A3" s="141"/>
      <c r="B3" s="143"/>
      <c r="C3" s="145"/>
      <c r="D3" s="145"/>
      <c r="E3" s="144"/>
    </row>
    <row r="4" ht="15.15" spans="1:5">
      <c r="A4" s="146"/>
      <c r="B4" s="143"/>
      <c r="C4" s="145"/>
      <c r="D4" s="145"/>
      <c r="E4" s="144"/>
    </row>
    <row r="5" ht="15.15" spans="1:5">
      <c r="A5" s="146"/>
      <c r="B5" s="143"/>
      <c r="C5" s="145"/>
      <c r="D5" s="145"/>
      <c r="E5" s="144"/>
    </row>
  </sheetData>
  <dataValidations count="2">
    <dataValidation type="list" allowBlank="1" showInputMessage="1" showErrorMessage="1" sqref="A2:A3">
      <formula1>INDIRECT(SUBSTITUTE(SUBSTITUTE(SUBSTITUTE(SUBSTITUTE($E2,"(","_"),")","_"),"-","_"),"/","_"))</formula1>
    </dataValidation>
    <dataValidation type="list" allowBlank="1" showInputMessage="1" showErrorMessage="1" sqref="E2:E5">
      <formula1>标准</formula1>
    </dataValidation>
  </dataValidations>
  <pageMargins left="0.699305555555556" right="0.699305555555556"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tabColor theme="9" tint="0.399975585192419"/>
  </sheetPr>
  <dimension ref="A1:N14"/>
  <sheetViews>
    <sheetView workbookViewId="0">
      <selection activeCell="E16" sqref="E16"/>
    </sheetView>
  </sheetViews>
  <sheetFormatPr defaultColWidth="9" defaultRowHeight="13.8"/>
  <cols>
    <col min="1" max="1" width="3.44444444444444" customWidth="1"/>
    <col min="2" max="2" width="16.1111111111111" customWidth="1"/>
    <col min="7" max="7" width="3.33333333333333" customWidth="1"/>
    <col min="8" max="8" width="13" customWidth="1"/>
    <col min="9" max="9" width="3.44444444444444" customWidth="1"/>
    <col min="12" max="12" width="26.3333333333333" customWidth="1"/>
    <col min="13" max="13" width="7.44444444444444" customWidth="1"/>
    <col min="14" max="14" width="9.77777777777778" customWidth="1"/>
  </cols>
  <sheetData>
    <row r="1" spans="1:14">
      <c r="A1" s="133">
        <v>1</v>
      </c>
      <c r="B1" s="133" t="s">
        <v>205</v>
      </c>
      <c r="C1" s="133"/>
      <c r="D1" s="133"/>
      <c r="E1" s="133"/>
      <c r="F1" s="133"/>
      <c r="G1" s="133" t="s">
        <v>206</v>
      </c>
      <c r="H1" s="133" t="s">
        <v>207</v>
      </c>
      <c r="I1" s="133">
        <f>COUNT(A:A)</f>
        <v>14</v>
      </c>
      <c r="J1" s="133"/>
      <c r="K1" s="133"/>
      <c r="L1" s="133"/>
      <c r="M1" s="133"/>
      <c r="N1" s="133"/>
    </row>
    <row r="2" spans="1:14">
      <c r="A2" s="133">
        <v>2</v>
      </c>
      <c r="B2" s="133" t="s">
        <v>208</v>
      </c>
      <c r="C2" s="133"/>
      <c r="D2" s="133"/>
      <c r="E2" s="133"/>
      <c r="F2" s="133"/>
      <c r="G2" s="133" t="s">
        <v>206</v>
      </c>
      <c r="H2" s="133" t="s">
        <v>209</v>
      </c>
      <c r="I2" s="133">
        <f>COUNTIF(G:G,"有")</f>
        <v>6</v>
      </c>
      <c r="J2" s="133"/>
      <c r="K2" s="133"/>
      <c r="L2" s="133"/>
      <c r="M2" s="133"/>
      <c r="N2" s="133"/>
    </row>
    <row r="3" ht="27.6" spans="1:14">
      <c r="A3" s="133">
        <v>3</v>
      </c>
      <c r="B3" s="133" t="s">
        <v>210</v>
      </c>
      <c r="C3" s="133"/>
      <c r="D3" s="133"/>
      <c r="E3" s="133"/>
      <c r="F3" s="133"/>
      <c r="G3" s="133" t="s">
        <v>206</v>
      </c>
      <c r="H3" s="133"/>
      <c r="I3" s="133"/>
      <c r="J3" s="133"/>
      <c r="K3" s="133"/>
      <c r="L3" s="133"/>
      <c r="M3" s="133"/>
      <c r="N3" s="133"/>
    </row>
    <row r="4" ht="27.6" spans="1:14">
      <c r="A4" s="133">
        <v>4</v>
      </c>
      <c r="B4" s="133" t="s">
        <v>211</v>
      </c>
      <c r="C4" s="133"/>
      <c r="D4" s="133"/>
      <c r="E4" s="133"/>
      <c r="F4" s="133"/>
      <c r="G4" s="133" t="s">
        <v>206</v>
      </c>
      <c r="H4" s="133" t="s">
        <v>212</v>
      </c>
      <c r="I4" s="133"/>
      <c r="J4" s="133"/>
      <c r="K4" s="133"/>
      <c r="L4" s="133"/>
      <c r="M4" s="133"/>
      <c r="N4" s="133"/>
    </row>
    <row r="5" ht="41.4" spans="1:14">
      <c r="A5" s="133">
        <v>5</v>
      </c>
      <c r="B5" s="133" t="s">
        <v>213</v>
      </c>
      <c r="C5" s="133"/>
      <c r="D5" s="133"/>
      <c r="E5" s="133"/>
      <c r="F5" s="133"/>
      <c r="G5" s="133" t="s">
        <v>206</v>
      </c>
      <c r="H5" s="133"/>
      <c r="I5" s="133"/>
      <c r="J5" s="133"/>
      <c r="K5" s="133"/>
      <c r="L5" s="135" t="s">
        <v>214</v>
      </c>
      <c r="M5" s="136" t="s">
        <v>215</v>
      </c>
      <c r="N5" s="137">
        <v>18929909196</v>
      </c>
    </row>
    <row r="6" ht="24" spans="1:14">
      <c r="A6" s="133">
        <v>6</v>
      </c>
      <c r="B6" s="133" t="s">
        <v>216</v>
      </c>
      <c r="C6" s="133"/>
      <c r="D6" s="133"/>
      <c r="E6" s="133"/>
      <c r="F6" s="133"/>
      <c r="G6" s="133" t="s">
        <v>206</v>
      </c>
      <c r="H6" s="133"/>
      <c r="I6" s="133"/>
      <c r="J6" s="133"/>
      <c r="K6" s="133"/>
      <c r="L6" s="135" t="s">
        <v>217</v>
      </c>
      <c r="M6" s="136" t="s">
        <v>218</v>
      </c>
      <c r="N6" s="137">
        <v>410007</v>
      </c>
    </row>
    <row r="7" spans="1:14">
      <c r="A7" s="133">
        <v>7</v>
      </c>
      <c r="B7" s="133" t="s">
        <v>219</v>
      </c>
      <c r="C7" s="133"/>
      <c r="D7" s="133"/>
      <c r="E7" s="133"/>
      <c r="F7" s="133"/>
      <c r="G7" s="133" t="s">
        <v>220</v>
      </c>
      <c r="H7" s="133"/>
      <c r="I7" s="133"/>
      <c r="J7" s="133"/>
      <c r="K7" s="133"/>
      <c r="L7" s="136" t="s">
        <v>221</v>
      </c>
      <c r="M7" s="136" t="s">
        <v>222</v>
      </c>
      <c r="N7" s="138" t="s">
        <v>223</v>
      </c>
    </row>
    <row r="8" spans="1:14">
      <c r="A8" s="133">
        <v>8</v>
      </c>
      <c r="B8" s="133" t="s">
        <v>224</v>
      </c>
      <c r="C8" s="133"/>
      <c r="D8" s="133"/>
      <c r="E8" s="133"/>
      <c r="F8" s="133"/>
      <c r="G8" s="133" t="s">
        <v>220</v>
      </c>
      <c r="H8" s="133"/>
      <c r="I8" s="133"/>
      <c r="J8" s="133"/>
      <c r="K8" s="133"/>
      <c r="L8" s="133"/>
      <c r="M8" s="133"/>
      <c r="N8" s="133"/>
    </row>
    <row r="9" ht="55.2" spans="1:14">
      <c r="A9" s="133">
        <v>9</v>
      </c>
      <c r="B9" s="133" t="s">
        <v>225</v>
      </c>
      <c r="C9" s="133"/>
      <c r="D9" s="133"/>
      <c r="E9" s="133"/>
      <c r="F9" s="133"/>
      <c r="G9" s="133" t="s">
        <v>220</v>
      </c>
      <c r="H9" s="133"/>
      <c r="I9" s="133"/>
      <c r="J9" s="133"/>
      <c r="K9" s="133"/>
      <c r="L9" s="139" t="s">
        <v>226</v>
      </c>
      <c r="M9" s="140" t="s">
        <v>215</v>
      </c>
      <c r="N9" s="140" t="s">
        <v>227</v>
      </c>
    </row>
    <row r="10" ht="27.6" spans="1:14">
      <c r="A10" s="133">
        <v>10</v>
      </c>
      <c r="B10" s="133" t="s">
        <v>228</v>
      </c>
      <c r="C10" s="133"/>
      <c r="D10" s="133"/>
      <c r="E10" s="133"/>
      <c r="F10" s="133"/>
      <c r="G10" s="133" t="s">
        <v>220</v>
      </c>
      <c r="H10" s="133"/>
      <c r="I10" s="133"/>
      <c r="J10" s="133"/>
      <c r="K10" s="133"/>
      <c r="L10" s="140" t="s">
        <v>229</v>
      </c>
      <c r="M10" s="140" t="s">
        <v>218</v>
      </c>
      <c r="N10" s="140">
        <v>610064</v>
      </c>
    </row>
    <row r="11" ht="27.6" spans="1:14">
      <c r="A11" s="133">
        <v>11</v>
      </c>
      <c r="B11" s="133" t="s">
        <v>230</v>
      </c>
      <c r="C11" s="133"/>
      <c r="D11" s="133"/>
      <c r="E11" s="133"/>
      <c r="F11" s="133"/>
      <c r="G11" s="133" t="s">
        <v>220</v>
      </c>
      <c r="H11" s="133"/>
      <c r="I11" s="133"/>
      <c r="J11" s="133"/>
      <c r="K11" s="133"/>
      <c r="L11" s="140" t="s">
        <v>231</v>
      </c>
      <c r="M11" s="140" t="s">
        <v>232</v>
      </c>
      <c r="N11" s="140" t="s">
        <v>233</v>
      </c>
    </row>
    <row r="12" spans="1:14">
      <c r="A12" s="133">
        <v>12</v>
      </c>
      <c r="B12" s="133" t="s">
        <v>234</v>
      </c>
      <c r="C12" s="133"/>
      <c r="D12" s="133"/>
      <c r="E12" s="133"/>
      <c r="F12" s="133"/>
      <c r="G12" s="133" t="s">
        <v>220</v>
      </c>
      <c r="H12" s="133"/>
      <c r="I12" s="133"/>
      <c r="J12" s="133"/>
      <c r="K12" s="133"/>
      <c r="L12" s="133"/>
      <c r="M12" s="133"/>
      <c r="N12" s="133"/>
    </row>
    <row r="13" ht="27.6" spans="1:14">
      <c r="A13" s="133">
        <v>13</v>
      </c>
      <c r="B13" s="133" t="s">
        <v>235</v>
      </c>
      <c r="C13" s="133"/>
      <c r="D13" s="133"/>
      <c r="E13" s="133"/>
      <c r="F13" s="133"/>
      <c r="G13" s="133" t="s">
        <v>220</v>
      </c>
      <c r="H13" s="133"/>
      <c r="I13" s="133"/>
      <c r="J13" s="133"/>
      <c r="K13" s="133"/>
      <c r="L13" s="133"/>
      <c r="M13" s="133"/>
      <c r="N13" s="133"/>
    </row>
    <row r="14" spans="1:14">
      <c r="A14" s="133">
        <v>14</v>
      </c>
      <c r="B14" s="134" t="s">
        <v>236</v>
      </c>
      <c r="C14" s="133"/>
      <c r="D14" s="133"/>
      <c r="E14" s="133"/>
      <c r="F14" s="133"/>
      <c r="G14" s="133" t="s">
        <v>220</v>
      </c>
      <c r="H14" s="133"/>
      <c r="I14" s="133"/>
      <c r="J14" s="133"/>
      <c r="K14" s="133"/>
      <c r="L14" s="133"/>
      <c r="M14" s="133"/>
      <c r="N14" s="133"/>
    </row>
  </sheetData>
  <dataValidations count="1">
    <dataValidation type="list" allowBlank="1" showInputMessage="1" showErrorMessage="1" sqref="G1:G14">
      <formula1>"有,无"</formula1>
    </dataValidation>
  </dataValidations>
  <pageMargins left="0.699305555555556" right="0.699305555555556"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96257" name="Button 1" r:id="rId3">
              <controlPr print="0" defaultSize="0">
                <anchor moveWithCells="1" sizeWithCells="1">
                  <from>
                    <xdr:col>7</xdr:col>
                    <xdr:colOff>7620</xdr:colOff>
                    <xdr:row>15</xdr:row>
                    <xdr:rowOff>38100</xdr:rowOff>
                  </from>
                  <to>
                    <xdr:col>9</xdr:col>
                    <xdr:colOff>0</xdr:colOff>
                    <xdr:row>17</xdr:row>
                    <xdr:rowOff>152400</xdr:rowOff>
                  </to>
                </anchor>
              </controlPr>
            </control>
          </mc:Choice>
        </mc:AlternateContent>
        <mc:AlternateContent xmlns:mc="http://schemas.openxmlformats.org/markup-compatibility/2006">
          <mc:Choice Requires="x14">
            <control shapeId="96258" name="Button 2" r:id="rId4">
              <controlPr print="0" defaultSize="0">
                <anchor moveWithCells="1" sizeWithCells="1">
                  <from>
                    <xdr:col>7</xdr:col>
                    <xdr:colOff>182880</xdr:colOff>
                    <xdr:row>18</xdr:row>
                    <xdr:rowOff>121920</xdr:rowOff>
                  </from>
                  <to>
                    <xdr:col>8</xdr:col>
                    <xdr:colOff>182880</xdr:colOff>
                    <xdr:row>20</xdr:row>
                    <xdr:rowOff>137160</xdr:rowOff>
                  </to>
                </anchor>
              </controlPr>
            </control>
          </mc:Choice>
        </mc:AlternateContent>
        <mc:AlternateContent xmlns:mc="http://schemas.openxmlformats.org/markup-compatibility/2006">
          <mc:Choice Requires="x14">
            <control shapeId="96259" name="Button 3" r:id="rId5">
              <controlPr print="0" defaultSize="0">
                <anchor moveWithCells="1" sizeWithCells="1">
                  <from>
                    <xdr:col>7</xdr:col>
                    <xdr:colOff>22860</xdr:colOff>
                    <xdr:row>7</xdr:row>
                    <xdr:rowOff>22860</xdr:rowOff>
                  </from>
                  <to>
                    <xdr:col>9</xdr:col>
                    <xdr:colOff>0</xdr:colOff>
                    <xdr:row>9</xdr:row>
                    <xdr:rowOff>60960</xdr:rowOff>
                  </to>
                </anchor>
              </controlPr>
            </control>
          </mc:Choice>
        </mc:AlternateContent>
        <mc:AlternateContent xmlns:mc="http://schemas.openxmlformats.org/markup-compatibility/2006">
          <mc:Choice Requires="x14">
            <control shapeId="96260" name="Button 4" r:id="rId6">
              <controlPr print="0" defaultSize="0">
                <anchor moveWithCells="1" sizeWithCells="1">
                  <from>
                    <xdr:col>7</xdr:col>
                    <xdr:colOff>0</xdr:colOff>
                    <xdr:row>4</xdr:row>
                    <xdr:rowOff>83820</xdr:rowOff>
                  </from>
                  <to>
                    <xdr:col>9</xdr:col>
                    <xdr:colOff>0</xdr:colOff>
                    <xdr:row>6</xdr:row>
                    <xdr:rowOff>144780</xdr:rowOff>
                  </to>
                </anchor>
              </controlPr>
            </control>
          </mc:Choice>
        </mc:AlternateContent>
        <mc:AlternateContent xmlns:mc="http://schemas.openxmlformats.org/markup-compatibility/2006">
          <mc:Choice Requires="x14">
            <control shapeId="96261" name="Button 6" r:id="rId7">
              <controlPr print="0" defaultSize="0">
                <anchor moveWithCells="1" sizeWithCells="1">
                  <from>
                    <xdr:col>7</xdr:col>
                    <xdr:colOff>22860</xdr:colOff>
                    <xdr:row>9</xdr:row>
                    <xdr:rowOff>22860</xdr:rowOff>
                  </from>
                  <to>
                    <xdr:col>9</xdr:col>
                    <xdr:colOff>0</xdr:colOff>
                    <xdr:row>11</xdr:row>
                    <xdr:rowOff>60960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rgb="FFFFFF00"/>
  </sheetPr>
  <dimension ref="A1:O16"/>
  <sheetViews>
    <sheetView topLeftCell="D1" workbookViewId="0">
      <selection activeCell="G24" sqref="G24"/>
    </sheetView>
  </sheetViews>
  <sheetFormatPr defaultColWidth="9" defaultRowHeight="13.8"/>
  <cols>
    <col min="1" max="1" width="14.1111111111111" style="118" customWidth="1"/>
    <col min="2" max="2" width="10.2222222222222" style="118" customWidth="1"/>
    <col min="3" max="3" width="15.1111111111111" style="118" customWidth="1"/>
    <col min="4" max="4" width="25.8888888888889" style="118" customWidth="1"/>
    <col min="5" max="5" width="14.6666666666667" style="118" customWidth="1"/>
    <col min="6" max="6" width="38" style="118" customWidth="1"/>
    <col min="7" max="7" width="18.7777777777778" style="118" customWidth="1"/>
    <col min="8" max="8" width="18.5555555555556" style="118" customWidth="1"/>
    <col min="9" max="9" width="8.44444444444444" style="118" customWidth="1"/>
    <col min="10" max="10" width="10.2222222222222" style="118" customWidth="1"/>
    <col min="11" max="11" width="18" style="118" customWidth="1"/>
    <col min="12" max="12" width="8.44444444444444" style="118" customWidth="1"/>
    <col min="13" max="13" width="19.2222222222222" style="118" customWidth="1"/>
    <col min="14" max="16384" width="9" style="118"/>
  </cols>
  <sheetData>
    <row r="1" spans="1:14">
      <c r="A1" s="120"/>
      <c r="B1" s="120"/>
      <c r="C1" s="120"/>
      <c r="D1" s="120"/>
      <c r="E1" s="120"/>
      <c r="F1" s="120"/>
      <c r="G1" s="120"/>
      <c r="H1" s="120"/>
      <c r="I1" s="120"/>
      <c r="K1" s="132" t="s">
        <v>237</v>
      </c>
      <c r="L1" s="120">
        <f>COUNTA(H:H)-1</f>
        <v>0</v>
      </c>
      <c r="M1" s="120"/>
      <c r="N1" s="120"/>
    </row>
    <row r="2" spans="1:14">
      <c r="A2" s="122"/>
      <c r="B2" s="122"/>
      <c r="C2" s="122"/>
      <c r="D2" s="122"/>
      <c r="E2" s="122"/>
      <c r="F2" s="122"/>
      <c r="G2" s="122"/>
      <c r="H2" s="122"/>
      <c r="I2" s="122"/>
      <c r="J2" s="122"/>
      <c r="K2" s="122"/>
      <c r="L2" s="122"/>
      <c r="M2" s="122"/>
      <c r="N2" s="122"/>
    </row>
    <row r="3" spans="1:14">
      <c r="A3" s="122"/>
      <c r="B3" s="122"/>
      <c r="C3" s="122"/>
      <c r="D3" s="122"/>
      <c r="E3" s="122"/>
      <c r="F3" s="122"/>
      <c r="G3" s="122"/>
      <c r="H3" s="122"/>
      <c r="I3" s="122"/>
      <c r="J3" s="122"/>
      <c r="K3" s="122"/>
      <c r="L3" s="122"/>
      <c r="M3" s="122"/>
      <c r="N3" s="122"/>
    </row>
    <row r="4" spans="1:14">
      <c r="A4" s="122"/>
      <c r="B4" s="122"/>
      <c r="C4" s="122"/>
      <c r="D4" s="122"/>
      <c r="E4" s="122"/>
      <c r="F4" s="122"/>
      <c r="G4" s="122"/>
      <c r="H4" s="122"/>
      <c r="I4" s="122"/>
      <c r="J4" s="122"/>
      <c r="K4" s="122"/>
      <c r="L4" s="122"/>
      <c r="M4" s="122"/>
      <c r="N4" s="122"/>
    </row>
    <row r="5" spans="1:14">
      <c r="A5" s="122"/>
      <c r="B5" s="122"/>
      <c r="C5" s="122"/>
      <c r="D5" s="122"/>
      <c r="E5" s="122"/>
      <c r="F5" s="122"/>
      <c r="G5" s="122"/>
      <c r="H5" s="122"/>
      <c r="I5" s="122"/>
      <c r="J5" s="122"/>
      <c r="K5" s="122"/>
      <c r="L5" s="122"/>
      <c r="M5" s="122"/>
      <c r="N5" s="122"/>
    </row>
    <row r="6" spans="1:14">
      <c r="A6" s="122"/>
      <c r="B6" s="122"/>
      <c r="C6" s="122"/>
      <c r="D6" s="122"/>
      <c r="E6" s="122"/>
      <c r="F6" s="122"/>
      <c r="G6" s="122"/>
      <c r="H6" s="122"/>
      <c r="I6" s="122"/>
      <c r="J6" s="122"/>
      <c r="K6" s="122"/>
      <c r="L6" s="122"/>
      <c r="M6" s="122"/>
      <c r="N6" s="122"/>
    </row>
    <row r="7" s="81" customFormat="1" ht="14.4" customHeight="1" spans="1:15">
      <c r="A7" s="81" t="s">
        <v>238</v>
      </c>
      <c r="B7" s="81" t="s">
        <v>239</v>
      </c>
      <c r="C7" s="81" t="s">
        <v>240</v>
      </c>
      <c r="D7" s="131" t="s">
        <v>241</v>
      </c>
      <c r="E7" s="131" t="s">
        <v>242</v>
      </c>
      <c r="F7" s="81" t="s">
        <v>243</v>
      </c>
      <c r="G7" s="81" t="s">
        <v>244</v>
      </c>
      <c r="H7" s="81" t="s">
        <v>245</v>
      </c>
      <c r="I7" s="81" t="s">
        <v>246</v>
      </c>
      <c r="J7" s="81" t="s">
        <v>247</v>
      </c>
      <c r="K7" s="81" t="s">
        <v>248</v>
      </c>
      <c r="L7" s="81" t="s">
        <v>249</v>
      </c>
      <c r="M7" s="81" t="s">
        <v>250</v>
      </c>
      <c r="N7" s="81" t="s">
        <v>251</v>
      </c>
      <c r="O7" s="81" t="s">
        <v>147</v>
      </c>
    </row>
    <row r="8" s="83" customFormat="1" ht="14.4" customHeight="1"/>
    <row r="9" spans="1:15">
      <c r="A9"/>
      <c r="B9"/>
      <c r="C9"/>
      <c r="D9"/>
      <c r="E9"/>
      <c r="F9"/>
      <c r="G9"/>
      <c r="H9"/>
      <c r="I9"/>
      <c r="J9"/>
      <c r="K9"/>
      <c r="L9"/>
      <c r="M9"/>
      <c r="N9"/>
      <c r="O9"/>
    </row>
    <row r="10" spans="1:15">
      <c r="A10"/>
      <c r="B10"/>
      <c r="C10"/>
      <c r="D10"/>
      <c r="E10"/>
      <c r="F10"/>
      <c r="G10"/>
      <c r="H10"/>
      <c r="I10"/>
      <c r="J10"/>
      <c r="K10"/>
      <c r="L10"/>
      <c r="M10"/>
      <c r="N10"/>
      <c r="O10"/>
    </row>
    <row r="11" spans="1:15">
      <c r="A11"/>
      <c r="B11"/>
      <c r="C11"/>
      <c r="D11"/>
      <c r="E11"/>
      <c r="F11"/>
      <c r="G11"/>
      <c r="H11"/>
      <c r="I11"/>
      <c r="J11"/>
      <c r="K11"/>
      <c r="L11"/>
      <c r="M11"/>
      <c r="N11"/>
      <c r="O11"/>
    </row>
    <row r="12" ht="16.5" customHeight="1" spans="1:15">
      <c r="A12"/>
      <c r="B12"/>
      <c r="C12"/>
      <c r="D12"/>
      <c r="E12"/>
      <c r="F12"/>
      <c r="G12"/>
      <c r="H12"/>
      <c r="I12"/>
      <c r="J12"/>
      <c r="K12"/>
      <c r="L12"/>
      <c r="M12"/>
      <c r="N12"/>
      <c r="O12"/>
    </row>
    <row r="13" ht="16.5" customHeight="1" spans="1:15">
      <c r="A13"/>
      <c r="B13"/>
      <c r="C13"/>
      <c r="D13"/>
      <c r="E13"/>
      <c r="F13"/>
      <c r="G13"/>
      <c r="H13"/>
      <c r="I13"/>
      <c r="J13"/>
      <c r="K13"/>
      <c r="L13"/>
      <c r="M13"/>
      <c r="N13"/>
      <c r="O13"/>
    </row>
    <row r="14" ht="16.5" customHeight="1" spans="1:15">
      <c r="A14"/>
      <c r="B14"/>
      <c r="C14"/>
      <c r="D14"/>
      <c r="E14"/>
      <c r="F14"/>
      <c r="G14"/>
      <c r="H14"/>
      <c r="I14"/>
      <c r="J14"/>
      <c r="K14"/>
      <c r="L14"/>
      <c r="M14"/>
      <c r="N14"/>
      <c r="O14"/>
    </row>
    <row r="15" ht="16.5" customHeight="1" spans="1:15">
      <c r="A15"/>
      <c r="B15"/>
      <c r="C15"/>
      <c r="D15"/>
      <c r="E15"/>
      <c r="F15"/>
      <c r="G15"/>
      <c r="H15"/>
      <c r="I15"/>
      <c r="J15"/>
      <c r="K15"/>
      <c r="L15"/>
      <c r="M15"/>
      <c r="N15"/>
      <c r="O15"/>
    </row>
    <row r="16" spans="1:12">
      <c r="A16"/>
      <c r="B16"/>
      <c r="C16"/>
      <c r="D16"/>
      <c r="E16"/>
      <c r="F16"/>
      <c r="G16"/>
      <c r="H16"/>
      <c r="I16"/>
      <c r="J16"/>
      <c r="K16"/>
      <c r="L16"/>
    </row>
  </sheetData>
  <pageMargins left="0.699305555555556" right="0.699305555555556"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67586" name="Button 2" r:id="rId3">
              <controlPr print="0" defaultSize="0">
                <anchor moveWithCells="1" sizeWithCells="1">
                  <from>
                    <xdr:col>4</xdr:col>
                    <xdr:colOff>22860</xdr:colOff>
                    <xdr:row>0</xdr:row>
                    <xdr:rowOff>0</xdr:rowOff>
                  </from>
                  <to>
                    <xdr:col>5</xdr:col>
                    <xdr:colOff>373380</xdr:colOff>
                    <xdr:row>3</xdr:row>
                    <xdr:rowOff>7620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tabColor rgb="FFFFFF00"/>
  </sheetPr>
  <dimension ref="A1:N14"/>
  <sheetViews>
    <sheetView tabSelected="1" workbookViewId="0">
      <selection activeCell="F8" sqref="F8"/>
    </sheetView>
  </sheetViews>
  <sheetFormatPr defaultColWidth="9" defaultRowHeight="13.8"/>
  <cols>
    <col min="1" max="1" width="14.1111111111111" style="118" customWidth="1"/>
    <col min="2" max="2" width="10.2222222222222" style="118" customWidth="1"/>
    <col min="3" max="3" width="17.7777777777778" style="118" customWidth="1"/>
    <col min="4" max="4" width="23.8888888888889" style="118" customWidth="1"/>
    <col min="5" max="7" width="33.3333333333333" style="119" customWidth="1"/>
    <col min="8" max="8" width="26.7777777777778" style="118" customWidth="1"/>
    <col min="9" max="9" width="8.44444444444444" style="118" customWidth="1"/>
    <col min="10" max="10" width="10.2222222222222" style="118" customWidth="1"/>
    <col min="11" max="11" width="18" style="118" customWidth="1"/>
    <col min="12" max="12" width="8.44444444444444" style="118" customWidth="1"/>
    <col min="13" max="16384" width="9" style="118"/>
  </cols>
  <sheetData>
    <row r="1" spans="1:14">
      <c r="A1" s="120" t="s">
        <v>252</v>
      </c>
      <c r="B1" s="120" t="s">
        <v>239</v>
      </c>
      <c r="C1" s="120"/>
      <c r="D1" s="120"/>
      <c r="E1" s="121"/>
      <c r="F1" s="121"/>
      <c r="G1" s="121"/>
      <c r="H1" s="120"/>
      <c r="I1" s="120"/>
      <c r="J1" s="120"/>
      <c r="K1" s="120"/>
      <c r="L1" s="120"/>
      <c r="M1" s="120"/>
      <c r="N1" s="120"/>
    </row>
    <row r="2" spans="1:14">
      <c r="A2" s="122" t="s">
        <v>253</v>
      </c>
      <c r="B2" s="122" t="s">
        <v>254</v>
      </c>
      <c r="C2" s="122"/>
      <c r="D2" s="122"/>
      <c r="E2" s="123"/>
      <c r="F2" s="123"/>
      <c r="G2" s="123"/>
      <c r="H2" s="122"/>
      <c r="I2" s="122"/>
      <c r="J2" s="122"/>
      <c r="K2" s="122"/>
      <c r="L2" s="122"/>
      <c r="M2" s="122"/>
      <c r="N2" s="122"/>
    </row>
    <row r="3" spans="1:14">
      <c r="A3" s="122"/>
      <c r="B3" s="122"/>
      <c r="C3" s="122"/>
      <c r="D3" s="122"/>
      <c r="E3" s="123"/>
      <c r="F3" s="123"/>
      <c r="G3" s="123"/>
      <c r="H3" s="122"/>
      <c r="I3" s="122"/>
      <c r="J3" s="122"/>
      <c r="K3" s="122"/>
      <c r="L3" s="122"/>
      <c r="M3" s="122"/>
      <c r="N3" s="122"/>
    </row>
    <row r="4" spans="1:14">
      <c r="A4" s="122"/>
      <c r="B4" s="122"/>
      <c r="C4" s="122"/>
      <c r="D4" s="122"/>
      <c r="E4" s="123"/>
      <c r="F4" s="123"/>
      <c r="G4" s="123"/>
      <c r="H4" s="122"/>
      <c r="I4" s="122"/>
      <c r="J4" s="122"/>
      <c r="K4" s="122"/>
      <c r="L4" s="122"/>
      <c r="M4" s="122"/>
      <c r="N4" s="122"/>
    </row>
    <row r="5" spans="1:14">
      <c r="A5" s="122"/>
      <c r="B5" s="122"/>
      <c r="C5" s="122"/>
      <c r="D5" s="122"/>
      <c r="E5" s="123"/>
      <c r="F5" s="123"/>
      <c r="G5" s="123"/>
      <c r="H5" s="122"/>
      <c r="I5" s="122"/>
      <c r="J5" s="122"/>
      <c r="K5" s="122"/>
      <c r="L5" s="122"/>
      <c r="M5" s="122"/>
      <c r="N5" s="122"/>
    </row>
    <row r="6" spans="1:14">
      <c r="A6" s="122"/>
      <c r="B6" s="122"/>
      <c r="C6" s="122"/>
      <c r="D6" s="122"/>
      <c r="E6" s="123"/>
      <c r="F6" s="123"/>
      <c r="G6" s="123"/>
      <c r="H6" s="122"/>
      <c r="I6" s="122"/>
      <c r="J6" s="122"/>
      <c r="K6" s="122"/>
      <c r="L6" s="122"/>
      <c r="M6" s="122"/>
      <c r="N6" s="122"/>
    </row>
    <row r="7" s="81" customFormat="1" ht="14.4" customHeight="1" spans="1:7">
      <c r="A7" s="71" t="s">
        <v>238</v>
      </c>
      <c r="B7" s="71" t="s">
        <v>239</v>
      </c>
      <c r="C7" s="71" t="s">
        <v>255</v>
      </c>
      <c r="D7" s="124" t="s">
        <v>256</v>
      </c>
      <c r="E7" s="125" t="s">
        <v>248</v>
      </c>
      <c r="F7" s="125" t="s">
        <v>257</v>
      </c>
      <c r="G7" s="126" t="s">
        <v>250</v>
      </c>
    </row>
    <row r="8" s="83" customFormat="1" ht="14.4" customHeight="1" spans="1:7">
      <c r="A8" s="70" t="s">
        <v>258</v>
      </c>
      <c r="B8" s="70" t="s">
        <v>259</v>
      </c>
      <c r="C8" s="73" t="s">
        <v>260</v>
      </c>
      <c r="D8" s="74">
        <v>0.05</v>
      </c>
      <c r="E8" s="127" t="s">
        <v>261</v>
      </c>
      <c r="F8" s="127" t="s">
        <v>262</v>
      </c>
      <c r="G8" s="127" t="s">
        <v>263</v>
      </c>
    </row>
    <row r="9" ht="15.6" spans="1:7">
      <c r="A9" s="76"/>
      <c r="B9" s="70" t="s">
        <v>264</v>
      </c>
      <c r="C9" s="73" t="s">
        <v>260</v>
      </c>
      <c r="D9" s="74">
        <v>0.05</v>
      </c>
      <c r="E9" s="127" t="s">
        <v>261</v>
      </c>
      <c r="F9" s="127" t="s">
        <v>262</v>
      </c>
      <c r="G9" s="127" t="s">
        <v>263</v>
      </c>
    </row>
    <row r="10" ht="15.6" spans="1:7">
      <c r="A10" s="71" t="s">
        <v>265</v>
      </c>
      <c r="B10" s="71" t="s">
        <v>266</v>
      </c>
      <c r="C10" s="77" t="s">
        <v>267</v>
      </c>
      <c r="D10" s="71">
        <v>0</v>
      </c>
      <c r="E10" s="127" t="s">
        <v>268</v>
      </c>
      <c r="F10" s="127" t="s">
        <v>269</v>
      </c>
      <c r="G10" s="127" t="s">
        <v>263</v>
      </c>
    </row>
    <row r="11" ht="15.6" spans="1:7">
      <c r="A11" s="71" t="s">
        <v>270</v>
      </c>
      <c r="B11" s="70" t="s">
        <v>259</v>
      </c>
      <c r="C11" s="71" t="s">
        <v>271</v>
      </c>
      <c r="D11" s="71">
        <v>0</v>
      </c>
      <c r="E11" s="127" t="s">
        <v>272</v>
      </c>
      <c r="F11" s="127" t="s">
        <v>273</v>
      </c>
      <c r="G11" s="127" t="s">
        <v>263</v>
      </c>
    </row>
    <row r="12" ht="15.6" spans="1:7">
      <c r="A12" s="70" t="s">
        <v>258</v>
      </c>
      <c r="B12" s="70" t="s">
        <v>259</v>
      </c>
      <c r="C12" s="71" t="s">
        <v>271</v>
      </c>
      <c r="D12" s="71">
        <v>0</v>
      </c>
      <c r="E12" s="127" t="s">
        <v>272</v>
      </c>
      <c r="F12" s="127" t="s">
        <v>273</v>
      </c>
      <c r="G12" s="127" t="s">
        <v>263</v>
      </c>
    </row>
    <row r="13" ht="15.6" spans="1:7">
      <c r="A13" s="70" t="s">
        <v>270</v>
      </c>
      <c r="B13" s="70" t="s">
        <v>266</v>
      </c>
      <c r="C13" s="77" t="s">
        <v>267</v>
      </c>
      <c r="D13" s="71">
        <v>0</v>
      </c>
      <c r="E13" s="127" t="s">
        <v>274</v>
      </c>
      <c r="F13" s="127" t="s">
        <v>269</v>
      </c>
      <c r="G13" s="127" t="s">
        <v>263</v>
      </c>
    </row>
    <row r="14" ht="14.4" spans="1:12">
      <c r="A14" s="112"/>
      <c r="B14" s="85"/>
      <c r="C14" s="87"/>
      <c r="D14" s="104"/>
      <c r="E14" s="128"/>
      <c r="F14" s="129"/>
      <c r="G14" s="130"/>
      <c r="H14" s="89"/>
      <c r="I14" s="89"/>
      <c r="J14" s="85"/>
      <c r="K14" s="85"/>
      <c r="L14" s="85"/>
    </row>
  </sheetData>
  <pageMargins left="0.699305555555556" right="0.699305555555556"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68609" name="Button 1" r:id="rId3">
              <controlPr print="0" defaultSize="0">
                <anchor moveWithCells="1" sizeWithCells="1">
                  <from>
                    <xdr:col>3</xdr:col>
                    <xdr:colOff>426720</xdr:colOff>
                    <xdr:row>0</xdr:row>
                    <xdr:rowOff>0</xdr:rowOff>
                  </from>
                  <to>
                    <xdr:col>4</xdr:col>
                    <xdr:colOff>1684020</xdr:colOff>
                    <xdr:row>3</xdr:row>
                    <xdr:rowOff>38100</xdr:rowOff>
                  </to>
                </anchor>
              </controlPr>
            </control>
          </mc:Choice>
        </mc:AlternateContent>
        <mc:AlternateContent xmlns:mc="http://schemas.openxmlformats.org/markup-compatibility/2006">
          <mc:Choice Requires="x14">
            <control shapeId="68610" name="Button 2" r:id="rId4">
              <controlPr print="0" defaultSize="0">
                <anchor moveWithCells="1" sizeWithCells="1">
                  <from>
                    <xdr:col>5</xdr:col>
                    <xdr:colOff>38100</xdr:colOff>
                    <xdr:row>0</xdr:row>
                    <xdr:rowOff>0</xdr:rowOff>
                  </from>
                  <to>
                    <xdr:col>5</xdr:col>
                    <xdr:colOff>1508760</xdr:colOff>
                    <xdr:row>3</xdr:row>
                    <xdr:rowOff>7620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M458"/>
  <sheetViews>
    <sheetView zoomScale="85" zoomScaleNormal="85" workbookViewId="0">
      <pane ySplit="1" topLeftCell="A2" activePane="bottomLeft" state="frozen"/>
      <selection/>
      <selection pane="bottomLeft" activeCell="E15" sqref="E15"/>
    </sheetView>
  </sheetViews>
  <sheetFormatPr defaultColWidth="8.88888888888889" defaultRowHeight="13.8"/>
  <cols>
    <col min="1" max="1" width="14.8888888888889" style="83" customWidth="1"/>
    <col min="2" max="3" width="10.7777777777778" style="83" customWidth="1"/>
    <col min="4" max="4" width="20.7777777777778" style="84" customWidth="1"/>
    <col min="5" max="5" width="34.8888888888889" style="83" customWidth="1"/>
    <col min="6" max="6" width="255.666666666667" style="83" customWidth="1"/>
    <col min="7" max="7" width="20.6666666666667" style="83" customWidth="1"/>
    <col min="8" max="8" width="24.2222222222222" style="83" customWidth="1"/>
    <col min="9" max="10" width="8.77777777777778" style="83" customWidth="1"/>
    <col min="11" max="11" width="27.3333333333333" style="83" customWidth="1"/>
    <col min="12" max="16384" width="8.88888888888889" style="83"/>
  </cols>
  <sheetData>
    <row r="1" s="81" customFormat="1" ht="14.4" spans="1:13">
      <c r="A1" s="85" t="s">
        <v>275</v>
      </c>
      <c r="B1" s="85" t="s">
        <v>276</v>
      </c>
      <c r="C1" s="86" t="s">
        <v>240</v>
      </c>
      <c r="D1" s="87" t="s">
        <v>241</v>
      </c>
      <c r="E1" s="87" t="s">
        <v>242</v>
      </c>
      <c r="F1" s="88" t="s">
        <v>243</v>
      </c>
      <c r="G1" s="85" t="s">
        <v>244</v>
      </c>
      <c r="H1" s="89" t="s">
        <v>277</v>
      </c>
      <c r="I1" s="89" t="s">
        <v>278</v>
      </c>
      <c r="J1" s="89" t="s">
        <v>247</v>
      </c>
      <c r="K1" s="85" t="s">
        <v>248</v>
      </c>
      <c r="L1" s="85" t="s">
        <v>249</v>
      </c>
      <c r="M1" s="85" t="s">
        <v>250</v>
      </c>
    </row>
    <row r="2" ht="17.4" spans="1:13">
      <c r="A2" s="90" t="s">
        <v>279</v>
      </c>
      <c r="B2" s="90" t="s">
        <v>279</v>
      </c>
      <c r="C2" s="86" t="s">
        <v>280</v>
      </c>
      <c r="D2" s="91" t="s">
        <v>281</v>
      </c>
      <c r="E2" s="92"/>
      <c r="F2" s="93" t="s">
        <v>282</v>
      </c>
      <c r="G2" s="94" t="s">
        <v>283</v>
      </c>
      <c r="H2" s="95">
        <v>0</v>
      </c>
      <c r="I2" s="95">
        <v>0</v>
      </c>
      <c r="J2" s="95">
        <v>0</v>
      </c>
      <c r="K2" s="90" t="s">
        <v>284</v>
      </c>
      <c r="L2" s="90" t="s">
        <v>285</v>
      </c>
      <c r="M2" s="90" t="s">
        <v>286</v>
      </c>
    </row>
    <row r="3" ht="15" spans="1:13">
      <c r="A3" s="85" t="s">
        <v>287</v>
      </c>
      <c r="B3" s="85" t="s">
        <v>279</v>
      </c>
      <c r="C3" s="86" t="s">
        <v>288</v>
      </c>
      <c r="D3" s="96" t="s">
        <v>289</v>
      </c>
      <c r="E3" s="92"/>
      <c r="F3" s="88" t="s">
        <v>290</v>
      </c>
      <c r="G3" s="89">
        <v>0.01</v>
      </c>
      <c r="H3" s="89" t="s">
        <v>291</v>
      </c>
      <c r="I3" s="89">
        <v>0.9</v>
      </c>
      <c r="J3" s="89">
        <v>0</v>
      </c>
      <c r="K3" s="88" t="s">
        <v>292</v>
      </c>
      <c r="L3" s="88" t="s">
        <v>293</v>
      </c>
      <c r="M3" s="88" t="s">
        <v>294</v>
      </c>
    </row>
    <row r="4" ht="15" spans="1:13">
      <c r="A4" s="85"/>
      <c r="B4" s="85" t="s">
        <v>279</v>
      </c>
      <c r="C4" s="86" t="s">
        <v>280</v>
      </c>
      <c r="D4" s="92" t="s">
        <v>295</v>
      </c>
      <c r="E4" s="92"/>
      <c r="F4" s="85" t="s">
        <v>296</v>
      </c>
      <c r="G4" s="97" t="s">
        <v>297</v>
      </c>
      <c r="H4" s="89">
        <v>0</v>
      </c>
      <c r="I4" s="89">
        <v>0</v>
      </c>
      <c r="J4" s="89">
        <v>0</v>
      </c>
      <c r="K4" s="114" t="s">
        <v>298</v>
      </c>
      <c r="L4" s="87"/>
      <c r="M4" s="85" t="s">
        <v>286</v>
      </c>
    </row>
    <row r="5" ht="15" spans="1:13">
      <c r="A5" s="88" t="s">
        <v>299</v>
      </c>
      <c r="B5" s="88" t="s">
        <v>259</v>
      </c>
      <c r="C5" s="86" t="s">
        <v>259</v>
      </c>
      <c r="D5" s="92" t="s">
        <v>300</v>
      </c>
      <c r="E5" s="92"/>
      <c r="F5" s="98" t="s">
        <v>301</v>
      </c>
      <c r="G5" s="97">
        <v>0.0005</v>
      </c>
      <c r="H5" s="99" t="s">
        <v>302</v>
      </c>
      <c r="I5" s="89">
        <v>0.9</v>
      </c>
      <c r="J5" s="89">
        <v>0.8</v>
      </c>
      <c r="K5" s="115" t="s">
        <v>303</v>
      </c>
      <c r="L5" s="88" t="s">
        <v>304</v>
      </c>
      <c r="M5" s="88" t="s">
        <v>305</v>
      </c>
    </row>
    <row r="6" s="82" customFormat="1" ht="16.2" spans="1:13">
      <c r="A6" s="100" t="s">
        <v>258</v>
      </c>
      <c r="B6" s="100" t="s">
        <v>259</v>
      </c>
      <c r="C6" s="86" t="s">
        <v>259</v>
      </c>
      <c r="D6" s="101" t="s">
        <v>306</v>
      </c>
      <c r="E6" s="101"/>
      <c r="F6" s="98" t="s">
        <v>307</v>
      </c>
      <c r="G6" s="102">
        <v>0.0005</v>
      </c>
      <c r="H6" s="103" t="s">
        <v>308</v>
      </c>
      <c r="I6" s="116">
        <v>0.95</v>
      </c>
      <c r="J6" s="116">
        <v>0.99</v>
      </c>
      <c r="K6" s="100" t="s">
        <v>309</v>
      </c>
      <c r="L6" s="100" t="s">
        <v>310</v>
      </c>
      <c r="M6" s="100" t="s">
        <v>311</v>
      </c>
    </row>
    <row r="7" ht="15" spans="1:13">
      <c r="A7" s="85" t="s">
        <v>312</v>
      </c>
      <c r="B7" s="85" t="s">
        <v>313</v>
      </c>
      <c r="C7" s="86" t="s">
        <v>313</v>
      </c>
      <c r="D7" s="104" t="s">
        <v>314</v>
      </c>
      <c r="E7" s="92"/>
      <c r="F7" s="85" t="s">
        <v>315</v>
      </c>
      <c r="G7" s="97">
        <v>0.0005</v>
      </c>
      <c r="H7" s="89" t="s">
        <v>308</v>
      </c>
      <c r="I7" s="89">
        <v>0.95</v>
      </c>
      <c r="J7" s="89">
        <v>0.99</v>
      </c>
      <c r="K7" s="85" t="s">
        <v>316</v>
      </c>
      <c r="L7" s="85" t="s">
        <v>317</v>
      </c>
      <c r="M7" s="85" t="s">
        <v>311</v>
      </c>
    </row>
    <row r="8" ht="15" spans="1:13">
      <c r="A8" s="105" t="s">
        <v>270</v>
      </c>
      <c r="B8" s="85" t="s">
        <v>266</v>
      </c>
      <c r="C8" s="86" t="s">
        <v>318</v>
      </c>
      <c r="D8" s="106" t="s">
        <v>319</v>
      </c>
      <c r="E8" s="92"/>
      <c r="F8" s="88" t="s">
        <v>320</v>
      </c>
      <c r="G8" s="107">
        <v>0.000175</v>
      </c>
      <c r="H8" s="89">
        <v>0</v>
      </c>
      <c r="I8" s="89">
        <v>0.9</v>
      </c>
      <c r="J8" s="89">
        <v>0.99</v>
      </c>
      <c r="K8" s="85" t="s">
        <v>321</v>
      </c>
      <c r="L8" s="93" t="s">
        <v>322</v>
      </c>
      <c r="M8" s="85" t="s">
        <v>323</v>
      </c>
    </row>
    <row r="9" ht="15" spans="1:13">
      <c r="A9" s="85" t="s">
        <v>324</v>
      </c>
      <c r="B9" s="85" t="s">
        <v>325</v>
      </c>
      <c r="C9" s="86" t="s">
        <v>318</v>
      </c>
      <c r="D9" s="106" t="s">
        <v>319</v>
      </c>
      <c r="E9" s="92"/>
      <c r="F9" s="88" t="s">
        <v>320</v>
      </c>
      <c r="G9" s="107">
        <v>0.000175</v>
      </c>
      <c r="H9" s="89">
        <v>0</v>
      </c>
      <c r="I9" s="89">
        <v>0.9</v>
      </c>
      <c r="J9" s="89">
        <v>0.99</v>
      </c>
      <c r="K9" s="85" t="s">
        <v>321</v>
      </c>
      <c r="L9" s="93" t="s">
        <v>322</v>
      </c>
      <c r="M9" s="85" t="s">
        <v>323</v>
      </c>
    </row>
    <row r="10" ht="15" spans="1:13">
      <c r="A10" s="88" t="s">
        <v>270</v>
      </c>
      <c r="B10" s="85" t="s">
        <v>326</v>
      </c>
      <c r="C10" s="86" t="s">
        <v>318</v>
      </c>
      <c r="D10" s="106" t="s">
        <v>319</v>
      </c>
      <c r="E10" s="92"/>
      <c r="F10" s="88" t="s">
        <v>320</v>
      </c>
      <c r="G10" s="107">
        <v>0.000175</v>
      </c>
      <c r="H10" s="89">
        <v>0</v>
      </c>
      <c r="I10" s="89">
        <v>0.9</v>
      </c>
      <c r="J10" s="89">
        <v>0.99</v>
      </c>
      <c r="K10" s="85" t="s">
        <v>321</v>
      </c>
      <c r="L10" s="93" t="s">
        <v>322</v>
      </c>
      <c r="M10" s="85" t="s">
        <v>323</v>
      </c>
    </row>
    <row r="11" ht="15" spans="1:13">
      <c r="A11" s="88" t="s">
        <v>270</v>
      </c>
      <c r="B11" s="85" t="s">
        <v>327</v>
      </c>
      <c r="C11" s="86" t="s">
        <v>318</v>
      </c>
      <c r="D11" s="106" t="s">
        <v>319</v>
      </c>
      <c r="E11" s="92"/>
      <c r="F11" s="88" t="s">
        <v>320</v>
      </c>
      <c r="G11" s="107">
        <v>0.000175</v>
      </c>
      <c r="H11" s="89">
        <v>0</v>
      </c>
      <c r="I11" s="89">
        <v>0.9</v>
      </c>
      <c r="J11" s="89">
        <v>0.99</v>
      </c>
      <c r="K11" s="85" t="s">
        <v>321</v>
      </c>
      <c r="L11" s="93" t="s">
        <v>322</v>
      </c>
      <c r="M11" s="85" t="s">
        <v>323</v>
      </c>
    </row>
    <row r="12" ht="15" spans="1:13">
      <c r="A12" s="88" t="s">
        <v>270</v>
      </c>
      <c r="B12" s="85" t="s">
        <v>328</v>
      </c>
      <c r="C12" s="86" t="s">
        <v>318</v>
      </c>
      <c r="D12" s="106" t="s">
        <v>319</v>
      </c>
      <c r="E12" s="92"/>
      <c r="F12" s="88" t="s">
        <v>320</v>
      </c>
      <c r="G12" s="107">
        <v>0.000175</v>
      </c>
      <c r="H12" s="89">
        <v>0</v>
      </c>
      <c r="I12" s="89">
        <v>0.9</v>
      </c>
      <c r="J12" s="89">
        <v>0.99</v>
      </c>
      <c r="K12" s="85" t="s">
        <v>321</v>
      </c>
      <c r="L12" s="93" t="s">
        <v>322</v>
      </c>
      <c r="M12" s="85" t="s">
        <v>323</v>
      </c>
    </row>
    <row r="13" ht="15" spans="1:13">
      <c r="A13" s="85" t="s">
        <v>329</v>
      </c>
      <c r="B13" s="85" t="s">
        <v>330</v>
      </c>
      <c r="C13" s="86" t="s">
        <v>331</v>
      </c>
      <c r="D13" s="108" t="s">
        <v>332</v>
      </c>
      <c r="E13" s="92"/>
      <c r="F13" s="109" t="s">
        <v>333</v>
      </c>
      <c r="G13" s="97">
        <v>0.05</v>
      </c>
      <c r="H13" s="89">
        <v>0</v>
      </c>
      <c r="I13" s="89">
        <v>0.9</v>
      </c>
      <c r="J13" s="89">
        <v>0</v>
      </c>
      <c r="K13" s="85" t="s">
        <v>334</v>
      </c>
      <c r="L13" s="85" t="s">
        <v>335</v>
      </c>
      <c r="M13" s="85" t="s">
        <v>336</v>
      </c>
    </row>
    <row r="14" ht="15" spans="1:13">
      <c r="A14" s="85" t="s">
        <v>329</v>
      </c>
      <c r="B14" s="85" t="s">
        <v>337</v>
      </c>
      <c r="C14" s="86" t="s">
        <v>337</v>
      </c>
      <c r="D14" s="108" t="s">
        <v>338</v>
      </c>
      <c r="E14" s="92"/>
      <c r="F14" s="109" t="s">
        <v>333</v>
      </c>
      <c r="G14" s="97">
        <v>0.05</v>
      </c>
      <c r="H14" s="89">
        <v>0</v>
      </c>
      <c r="I14" s="89">
        <v>0.9</v>
      </c>
      <c r="J14" s="89">
        <v>0</v>
      </c>
      <c r="K14" s="85" t="s">
        <v>334</v>
      </c>
      <c r="L14" s="85" t="s">
        <v>335</v>
      </c>
      <c r="M14" s="85" t="s">
        <v>336</v>
      </c>
    </row>
    <row r="15" ht="15" spans="1:13">
      <c r="A15" s="85" t="s">
        <v>253</v>
      </c>
      <c r="B15" s="85" t="s">
        <v>254</v>
      </c>
      <c r="C15" s="86" t="s">
        <v>331</v>
      </c>
      <c r="D15" s="87" t="s">
        <v>339</v>
      </c>
      <c r="E15" s="87"/>
      <c r="F15" s="109" t="s">
        <v>340</v>
      </c>
      <c r="G15" s="85" t="s">
        <v>341</v>
      </c>
      <c r="H15" s="89" t="s">
        <v>342</v>
      </c>
      <c r="I15" s="89">
        <v>0.9</v>
      </c>
      <c r="J15" s="89">
        <v>0.9</v>
      </c>
      <c r="K15" s="85" t="s">
        <v>343</v>
      </c>
      <c r="L15" s="85" t="s">
        <v>344</v>
      </c>
      <c r="M15" s="85" t="s">
        <v>345</v>
      </c>
    </row>
    <row r="16" ht="17.4" spans="1:13">
      <c r="A16" s="85" t="s">
        <v>346</v>
      </c>
      <c r="B16" s="85" t="s">
        <v>347</v>
      </c>
      <c r="C16" s="86" t="s">
        <v>348</v>
      </c>
      <c r="D16" s="85" t="s">
        <v>349</v>
      </c>
      <c r="E16" s="85"/>
      <c r="F16" s="85" t="s">
        <v>350</v>
      </c>
      <c r="G16" s="97" t="s">
        <v>341</v>
      </c>
      <c r="H16" s="110" t="s">
        <v>351</v>
      </c>
      <c r="I16" s="89">
        <v>0.9</v>
      </c>
      <c r="J16" s="89">
        <v>0.9</v>
      </c>
      <c r="K16" s="114" t="s">
        <v>352</v>
      </c>
      <c r="L16" s="88" t="s">
        <v>353</v>
      </c>
      <c r="M16" s="85" t="s">
        <v>354</v>
      </c>
    </row>
    <row r="17" ht="17.4" spans="1:13">
      <c r="A17" s="85" t="s">
        <v>346</v>
      </c>
      <c r="B17" s="85" t="s">
        <v>348</v>
      </c>
      <c r="C17" s="86" t="s">
        <v>348</v>
      </c>
      <c r="D17" s="85" t="s">
        <v>349</v>
      </c>
      <c r="E17" s="85"/>
      <c r="F17" s="85" t="s">
        <v>350</v>
      </c>
      <c r="G17" s="97" t="s">
        <v>341</v>
      </c>
      <c r="H17" s="110" t="s">
        <v>351</v>
      </c>
      <c r="I17" s="89">
        <v>0.9</v>
      </c>
      <c r="J17" s="89">
        <v>0.9</v>
      </c>
      <c r="K17" s="114" t="s">
        <v>352</v>
      </c>
      <c r="L17" s="88" t="s">
        <v>353</v>
      </c>
      <c r="M17" s="85" t="s">
        <v>354</v>
      </c>
    </row>
    <row r="18" ht="15" spans="1:13">
      <c r="A18" s="85" t="s">
        <v>355</v>
      </c>
      <c r="B18" s="85" t="s">
        <v>356</v>
      </c>
      <c r="C18" s="86" t="s">
        <v>356</v>
      </c>
      <c r="D18" s="87" t="s">
        <v>357</v>
      </c>
      <c r="E18" s="92"/>
      <c r="F18" s="85" t="s">
        <v>358</v>
      </c>
      <c r="G18" s="85" t="s">
        <v>341</v>
      </c>
      <c r="H18" s="89">
        <v>0</v>
      </c>
      <c r="I18" s="89">
        <v>0.9</v>
      </c>
      <c r="J18" s="89">
        <v>0</v>
      </c>
      <c r="K18" s="114" t="s">
        <v>359</v>
      </c>
      <c r="L18" s="88" t="s">
        <v>360</v>
      </c>
      <c r="M18" s="85" t="s">
        <v>336</v>
      </c>
    </row>
    <row r="19" ht="15" spans="1:13">
      <c r="A19" s="85" t="s">
        <v>355</v>
      </c>
      <c r="B19" s="85" t="s">
        <v>361</v>
      </c>
      <c r="C19" s="86" t="s">
        <v>361</v>
      </c>
      <c r="D19" s="87" t="s">
        <v>362</v>
      </c>
      <c r="E19" s="104"/>
      <c r="F19" s="85" t="s">
        <v>363</v>
      </c>
      <c r="G19" s="85" t="s">
        <v>341</v>
      </c>
      <c r="H19" s="89">
        <v>0</v>
      </c>
      <c r="I19" s="89">
        <v>0.9</v>
      </c>
      <c r="J19" s="89">
        <v>0</v>
      </c>
      <c r="K19" s="114" t="s">
        <v>364</v>
      </c>
      <c r="L19" s="88" t="s">
        <v>365</v>
      </c>
      <c r="M19" s="85" t="s">
        <v>336</v>
      </c>
    </row>
    <row r="20" ht="15" spans="1:13">
      <c r="A20" s="85" t="s">
        <v>366</v>
      </c>
      <c r="B20" s="85"/>
      <c r="C20" s="86" t="s">
        <v>366</v>
      </c>
      <c r="D20" s="87" t="s">
        <v>367</v>
      </c>
      <c r="E20" s="92"/>
      <c r="F20" s="85" t="s">
        <v>368</v>
      </c>
      <c r="G20" s="85" t="s">
        <v>341</v>
      </c>
      <c r="H20" s="89">
        <v>0</v>
      </c>
      <c r="I20" s="89">
        <v>0.9</v>
      </c>
      <c r="J20" s="89">
        <v>0</v>
      </c>
      <c r="K20" s="114" t="s">
        <v>369</v>
      </c>
      <c r="L20" s="88" t="s">
        <v>370</v>
      </c>
      <c r="M20" s="85" t="s">
        <v>336</v>
      </c>
    </row>
    <row r="21" ht="15" spans="1:13">
      <c r="A21" s="85" t="s">
        <v>287</v>
      </c>
      <c r="B21" s="85" t="s">
        <v>287</v>
      </c>
      <c r="C21" s="86" t="s">
        <v>371</v>
      </c>
      <c r="D21" s="87" t="s">
        <v>372</v>
      </c>
      <c r="E21" s="87"/>
      <c r="F21" s="85" t="s">
        <v>368</v>
      </c>
      <c r="G21" s="85" t="s">
        <v>341</v>
      </c>
      <c r="H21" s="89">
        <v>0</v>
      </c>
      <c r="I21" s="89">
        <v>0.9</v>
      </c>
      <c r="J21" s="89">
        <v>0</v>
      </c>
      <c r="K21" s="85" t="s">
        <v>373</v>
      </c>
      <c r="L21" s="88" t="s">
        <v>374</v>
      </c>
      <c r="M21" s="85" t="s">
        <v>336</v>
      </c>
    </row>
    <row r="22" ht="15" spans="1:13">
      <c r="A22" s="85" t="s">
        <v>375</v>
      </c>
      <c r="B22" s="88" t="s">
        <v>376</v>
      </c>
      <c r="C22" s="86" t="s">
        <v>371</v>
      </c>
      <c r="D22" s="87" t="s">
        <v>203</v>
      </c>
      <c r="E22" s="87"/>
      <c r="F22" s="85" t="s">
        <v>377</v>
      </c>
      <c r="G22" s="85" t="s">
        <v>378</v>
      </c>
      <c r="H22" s="89">
        <v>0</v>
      </c>
      <c r="I22" s="89">
        <v>0.9</v>
      </c>
      <c r="J22" s="89">
        <v>0</v>
      </c>
      <c r="K22" s="88" t="s">
        <v>379</v>
      </c>
      <c r="L22" s="88" t="s">
        <v>380</v>
      </c>
      <c r="M22" s="85" t="s">
        <v>336</v>
      </c>
    </row>
    <row r="23" ht="15" spans="1:13">
      <c r="A23" s="85" t="s">
        <v>381</v>
      </c>
      <c r="B23" s="85" t="s">
        <v>382</v>
      </c>
      <c r="C23" s="86" t="s">
        <v>382</v>
      </c>
      <c r="D23" s="87" t="s">
        <v>383</v>
      </c>
      <c r="E23" s="104"/>
      <c r="F23" s="85" t="s">
        <v>384</v>
      </c>
      <c r="G23" s="85" t="s">
        <v>341</v>
      </c>
      <c r="H23" s="89">
        <v>0</v>
      </c>
      <c r="I23" s="89">
        <v>0</v>
      </c>
      <c r="J23" s="89">
        <v>0</v>
      </c>
      <c r="K23" s="88" t="s">
        <v>385</v>
      </c>
      <c r="L23" s="88" t="s">
        <v>386</v>
      </c>
      <c r="M23" s="88" t="s">
        <v>387</v>
      </c>
    </row>
    <row r="24" ht="15" spans="1:13">
      <c r="A24" s="85" t="s">
        <v>388</v>
      </c>
      <c r="B24" s="88" t="s">
        <v>389</v>
      </c>
      <c r="C24" s="86" t="s">
        <v>389</v>
      </c>
      <c r="D24" s="104" t="s">
        <v>390</v>
      </c>
      <c r="E24" s="104" t="s">
        <v>391</v>
      </c>
      <c r="F24" s="85" t="s">
        <v>392</v>
      </c>
      <c r="G24" s="85" t="s">
        <v>297</v>
      </c>
      <c r="H24" s="89">
        <v>0</v>
      </c>
      <c r="I24" s="89">
        <v>0.9</v>
      </c>
      <c r="J24" s="89">
        <v>0</v>
      </c>
      <c r="K24" s="85" t="s">
        <v>393</v>
      </c>
      <c r="L24" s="88" t="s">
        <v>394</v>
      </c>
      <c r="M24" s="85" t="s">
        <v>336</v>
      </c>
    </row>
    <row r="25" ht="15" spans="1:13">
      <c r="A25" s="85" t="s">
        <v>381</v>
      </c>
      <c r="B25" s="85" t="s">
        <v>389</v>
      </c>
      <c r="C25" s="86" t="s">
        <v>389</v>
      </c>
      <c r="D25" s="104" t="s">
        <v>389</v>
      </c>
      <c r="E25" s="104" t="s">
        <v>395</v>
      </c>
      <c r="F25" s="109" t="s">
        <v>396</v>
      </c>
      <c r="G25" s="111">
        <v>0.00035</v>
      </c>
      <c r="H25" s="99" t="s">
        <v>397</v>
      </c>
      <c r="I25" s="89">
        <v>0.9</v>
      </c>
      <c r="J25" s="89">
        <v>0.7</v>
      </c>
      <c r="K25" s="85" t="s">
        <v>398</v>
      </c>
      <c r="L25" s="85" t="s">
        <v>399</v>
      </c>
      <c r="M25" s="85" t="s">
        <v>336</v>
      </c>
    </row>
    <row r="26" ht="15" spans="1:13">
      <c r="A26" s="85" t="s">
        <v>381</v>
      </c>
      <c r="B26" s="85" t="s">
        <v>389</v>
      </c>
      <c r="C26" s="86" t="s">
        <v>389</v>
      </c>
      <c r="D26" s="104" t="s">
        <v>389</v>
      </c>
      <c r="E26" s="13" t="s">
        <v>400</v>
      </c>
      <c r="F26" s="109" t="s">
        <v>396</v>
      </c>
      <c r="G26" s="111">
        <v>0.00035</v>
      </c>
      <c r="H26" s="99" t="s">
        <v>397</v>
      </c>
      <c r="I26" s="89">
        <v>0.9</v>
      </c>
      <c r="J26" s="89">
        <v>0.7</v>
      </c>
      <c r="K26" s="85" t="s">
        <v>398</v>
      </c>
      <c r="L26" s="85" t="s">
        <v>399</v>
      </c>
      <c r="M26" s="85" t="s">
        <v>401</v>
      </c>
    </row>
    <row r="27" ht="15" spans="1:13">
      <c r="A27" s="85" t="s">
        <v>381</v>
      </c>
      <c r="B27" s="85" t="s">
        <v>389</v>
      </c>
      <c r="C27" s="86" t="s">
        <v>389</v>
      </c>
      <c r="D27" s="104" t="s">
        <v>389</v>
      </c>
      <c r="E27" s="13" t="s">
        <v>402</v>
      </c>
      <c r="F27" s="109" t="s">
        <v>396</v>
      </c>
      <c r="G27" s="111">
        <v>0.00035</v>
      </c>
      <c r="H27" s="99" t="s">
        <v>397</v>
      </c>
      <c r="I27" s="89">
        <v>0.9</v>
      </c>
      <c r="J27" s="89">
        <v>0.7</v>
      </c>
      <c r="K27" s="85" t="s">
        <v>398</v>
      </c>
      <c r="L27" s="85" t="s">
        <v>399</v>
      </c>
      <c r="M27" s="85" t="s">
        <v>401</v>
      </c>
    </row>
    <row r="28" ht="15" spans="1:13">
      <c r="A28" s="85" t="s">
        <v>381</v>
      </c>
      <c r="B28" s="85" t="s">
        <v>389</v>
      </c>
      <c r="C28" s="86" t="s">
        <v>389</v>
      </c>
      <c r="D28" s="104" t="s">
        <v>389</v>
      </c>
      <c r="E28" s="13" t="s">
        <v>403</v>
      </c>
      <c r="F28" s="109" t="s">
        <v>396</v>
      </c>
      <c r="G28" s="111">
        <v>0.00035</v>
      </c>
      <c r="H28" s="99" t="s">
        <v>397</v>
      </c>
      <c r="I28" s="89">
        <v>0.9</v>
      </c>
      <c r="J28" s="89">
        <v>0.7</v>
      </c>
      <c r="K28" s="85" t="s">
        <v>398</v>
      </c>
      <c r="L28" s="85" t="s">
        <v>399</v>
      </c>
      <c r="M28" s="85" t="s">
        <v>401</v>
      </c>
    </row>
    <row r="29" ht="15" spans="1:13">
      <c r="A29" s="85" t="s">
        <v>381</v>
      </c>
      <c r="B29" s="85" t="s">
        <v>389</v>
      </c>
      <c r="C29" s="86" t="s">
        <v>389</v>
      </c>
      <c r="D29" s="104" t="s">
        <v>389</v>
      </c>
      <c r="E29" s="13" t="s">
        <v>404</v>
      </c>
      <c r="F29" s="109" t="s">
        <v>396</v>
      </c>
      <c r="G29" s="111">
        <v>0.00035</v>
      </c>
      <c r="H29" s="99" t="s">
        <v>397</v>
      </c>
      <c r="I29" s="89">
        <v>0.9</v>
      </c>
      <c r="J29" s="89">
        <v>0.7</v>
      </c>
      <c r="K29" s="85" t="s">
        <v>398</v>
      </c>
      <c r="L29" s="85" t="s">
        <v>399</v>
      </c>
      <c r="M29" s="85" t="s">
        <v>401</v>
      </c>
    </row>
    <row r="30" ht="15" spans="1:13">
      <c r="A30" s="85" t="s">
        <v>381</v>
      </c>
      <c r="B30" s="85" t="s">
        <v>389</v>
      </c>
      <c r="C30" s="86" t="s">
        <v>389</v>
      </c>
      <c r="D30" s="104" t="s">
        <v>389</v>
      </c>
      <c r="E30" s="13" t="s">
        <v>405</v>
      </c>
      <c r="F30" s="109" t="s">
        <v>396</v>
      </c>
      <c r="G30" s="111">
        <v>0.00035</v>
      </c>
      <c r="H30" s="99" t="s">
        <v>397</v>
      </c>
      <c r="I30" s="89">
        <v>0.9</v>
      </c>
      <c r="J30" s="89">
        <v>0.7</v>
      </c>
      <c r="K30" s="85" t="s">
        <v>398</v>
      </c>
      <c r="L30" s="85" t="s">
        <v>399</v>
      </c>
      <c r="M30" s="85" t="s">
        <v>401</v>
      </c>
    </row>
    <row r="31" ht="15" spans="1:13">
      <c r="A31" s="85" t="s">
        <v>381</v>
      </c>
      <c r="B31" s="85" t="s">
        <v>389</v>
      </c>
      <c r="C31" s="86" t="s">
        <v>389</v>
      </c>
      <c r="D31" s="104" t="s">
        <v>389</v>
      </c>
      <c r="E31" s="13" t="s">
        <v>406</v>
      </c>
      <c r="F31" s="109" t="s">
        <v>396</v>
      </c>
      <c r="G31" s="111">
        <v>0.00035</v>
      </c>
      <c r="H31" s="99" t="s">
        <v>397</v>
      </c>
      <c r="I31" s="89">
        <v>0.9</v>
      </c>
      <c r="J31" s="89">
        <v>0.7</v>
      </c>
      <c r="K31" s="85" t="s">
        <v>398</v>
      </c>
      <c r="L31" s="85" t="s">
        <v>399</v>
      </c>
      <c r="M31" s="85" t="s">
        <v>401</v>
      </c>
    </row>
    <row r="32" ht="15" spans="1:13">
      <c r="A32" s="85" t="s">
        <v>381</v>
      </c>
      <c r="B32" s="85" t="s">
        <v>389</v>
      </c>
      <c r="C32" s="86" t="s">
        <v>389</v>
      </c>
      <c r="D32" s="104" t="s">
        <v>389</v>
      </c>
      <c r="E32" s="13" t="s">
        <v>77</v>
      </c>
      <c r="F32" s="109" t="s">
        <v>396</v>
      </c>
      <c r="G32" s="111">
        <v>0.00035</v>
      </c>
      <c r="H32" s="99" t="s">
        <v>397</v>
      </c>
      <c r="I32" s="89">
        <v>0.9</v>
      </c>
      <c r="J32" s="89">
        <v>0.7</v>
      </c>
      <c r="K32" s="85" t="s">
        <v>398</v>
      </c>
      <c r="L32" s="85" t="s">
        <v>399</v>
      </c>
      <c r="M32" s="85" t="s">
        <v>401</v>
      </c>
    </row>
    <row r="33" ht="15" spans="1:13">
      <c r="A33" s="85" t="s">
        <v>381</v>
      </c>
      <c r="B33" s="85" t="s">
        <v>389</v>
      </c>
      <c r="C33" s="86" t="s">
        <v>389</v>
      </c>
      <c r="D33" s="104" t="s">
        <v>389</v>
      </c>
      <c r="E33" s="13" t="s">
        <v>407</v>
      </c>
      <c r="F33" s="109" t="s">
        <v>396</v>
      </c>
      <c r="G33" s="111">
        <v>0.00035</v>
      </c>
      <c r="H33" s="99" t="s">
        <v>397</v>
      </c>
      <c r="I33" s="89">
        <v>0.9</v>
      </c>
      <c r="J33" s="89">
        <v>0.7</v>
      </c>
      <c r="K33" s="85" t="s">
        <v>398</v>
      </c>
      <c r="L33" s="85" t="s">
        <v>399</v>
      </c>
      <c r="M33" s="85" t="s">
        <v>401</v>
      </c>
    </row>
    <row r="34" ht="15" spans="1:13">
      <c r="A34" s="85" t="s">
        <v>381</v>
      </c>
      <c r="B34" s="85" t="s">
        <v>389</v>
      </c>
      <c r="C34" s="86" t="s">
        <v>389</v>
      </c>
      <c r="D34" s="104" t="s">
        <v>389</v>
      </c>
      <c r="E34" s="13" t="s">
        <v>391</v>
      </c>
      <c r="F34" s="109" t="s">
        <v>396</v>
      </c>
      <c r="G34" s="111">
        <v>0.00035</v>
      </c>
      <c r="H34" s="99" t="s">
        <v>397</v>
      </c>
      <c r="I34" s="89">
        <v>0.9</v>
      </c>
      <c r="J34" s="89">
        <v>0.7</v>
      </c>
      <c r="K34" s="85" t="s">
        <v>398</v>
      </c>
      <c r="L34" s="85" t="s">
        <v>399</v>
      </c>
      <c r="M34" s="85" t="s">
        <v>401</v>
      </c>
    </row>
    <row r="35" ht="14.4" spans="1:13">
      <c r="A35" s="112" t="s">
        <v>408</v>
      </c>
      <c r="B35" s="85" t="s">
        <v>409</v>
      </c>
      <c r="C35" s="86" t="s">
        <v>409</v>
      </c>
      <c r="D35" s="87" t="s">
        <v>410</v>
      </c>
      <c r="E35" s="104"/>
      <c r="F35" s="109" t="s">
        <v>396</v>
      </c>
      <c r="G35" s="113">
        <v>0.0085</v>
      </c>
      <c r="H35" s="89" t="s">
        <v>342</v>
      </c>
      <c r="I35" s="89">
        <v>0.9</v>
      </c>
      <c r="J35" s="89">
        <v>0.9</v>
      </c>
      <c r="K35" s="117" t="s">
        <v>411</v>
      </c>
      <c r="L35" s="117" t="s">
        <v>412</v>
      </c>
      <c r="M35" s="117" t="s">
        <v>413</v>
      </c>
    </row>
    <row r="36" ht="14.4" spans="1:13">
      <c r="A36" s="112" t="s">
        <v>408</v>
      </c>
      <c r="B36" s="85" t="s">
        <v>414</v>
      </c>
      <c r="C36" s="86" t="s">
        <v>414</v>
      </c>
      <c r="D36" s="87" t="s">
        <v>415</v>
      </c>
      <c r="E36" s="104"/>
      <c r="F36" s="109" t="s">
        <v>396</v>
      </c>
      <c r="G36" s="113">
        <v>0.0085</v>
      </c>
      <c r="H36" s="89" t="s">
        <v>342</v>
      </c>
      <c r="I36" s="89">
        <v>0.9</v>
      </c>
      <c r="J36" s="89">
        <v>0.9</v>
      </c>
      <c r="K36" s="117" t="s">
        <v>411</v>
      </c>
      <c r="L36" s="117" t="s">
        <v>412</v>
      </c>
      <c r="M36" s="117" t="s">
        <v>413</v>
      </c>
    </row>
    <row r="37" ht="14.4" spans="1:13">
      <c r="A37" s="85" t="s">
        <v>408</v>
      </c>
      <c r="B37" s="85" t="s">
        <v>389</v>
      </c>
      <c r="C37" s="86" t="s">
        <v>389</v>
      </c>
      <c r="D37" s="87" t="s">
        <v>416</v>
      </c>
      <c r="E37" s="104"/>
      <c r="F37" s="109" t="s">
        <v>396</v>
      </c>
      <c r="G37" s="113">
        <v>0.0085</v>
      </c>
      <c r="H37" s="89" t="s">
        <v>342</v>
      </c>
      <c r="I37" s="89">
        <v>0.9</v>
      </c>
      <c r="J37" s="89">
        <v>0</v>
      </c>
      <c r="K37" s="85" t="s">
        <v>417</v>
      </c>
      <c r="L37" s="85" t="s">
        <v>418</v>
      </c>
      <c r="M37" s="85" t="s">
        <v>413</v>
      </c>
    </row>
    <row r="38" ht="15" spans="1:13">
      <c r="A38" s="112" t="s">
        <v>381</v>
      </c>
      <c r="B38" s="85" t="s">
        <v>409</v>
      </c>
      <c r="C38" s="86" t="s">
        <v>409</v>
      </c>
      <c r="D38" s="87" t="s">
        <v>419</v>
      </c>
      <c r="F38" s="109" t="s">
        <v>396</v>
      </c>
      <c r="G38" s="111">
        <v>0.00035</v>
      </c>
      <c r="H38" s="89" t="s">
        <v>342</v>
      </c>
      <c r="I38" s="89">
        <v>0.9</v>
      </c>
      <c r="J38" s="89">
        <v>0.9</v>
      </c>
      <c r="K38" s="85" t="s">
        <v>420</v>
      </c>
      <c r="L38" s="85" t="s">
        <v>421</v>
      </c>
      <c r="M38" s="85" t="s">
        <v>413</v>
      </c>
    </row>
    <row r="39" ht="15" spans="1:13">
      <c r="A39" s="112" t="s">
        <v>381</v>
      </c>
      <c r="B39" s="85" t="s">
        <v>414</v>
      </c>
      <c r="C39" s="86" t="s">
        <v>414</v>
      </c>
      <c r="D39" s="87" t="s">
        <v>422</v>
      </c>
      <c r="E39" s="104"/>
      <c r="F39" s="109" t="s">
        <v>396</v>
      </c>
      <c r="G39" s="111">
        <v>0.00035</v>
      </c>
      <c r="H39" s="89" t="s">
        <v>342</v>
      </c>
      <c r="I39" s="89">
        <v>0.9</v>
      </c>
      <c r="J39" s="89">
        <v>0.9</v>
      </c>
      <c r="K39" s="85" t="s">
        <v>420</v>
      </c>
      <c r="L39" s="85" t="s">
        <v>421</v>
      </c>
      <c r="M39" s="85" t="s">
        <v>413</v>
      </c>
    </row>
    <row r="40" ht="14.4" spans="1:13">
      <c r="A40" s="85"/>
      <c r="B40" s="85" t="s">
        <v>423</v>
      </c>
      <c r="C40" s="86" t="s">
        <v>424</v>
      </c>
      <c r="D40" s="106" t="s">
        <v>425</v>
      </c>
      <c r="E40" s="104"/>
      <c r="F40" s="85" t="s">
        <v>426</v>
      </c>
      <c r="G40" s="85" t="s">
        <v>341</v>
      </c>
      <c r="H40" s="89">
        <v>0</v>
      </c>
      <c r="I40" s="89">
        <v>0.9</v>
      </c>
      <c r="J40" s="89">
        <v>0</v>
      </c>
      <c r="K40" s="85" t="s">
        <v>427</v>
      </c>
      <c r="L40" s="85" t="s">
        <v>428</v>
      </c>
      <c r="M40" s="85" t="s">
        <v>429</v>
      </c>
    </row>
    <row r="41" ht="14.4" spans="1:13">
      <c r="A41" s="85"/>
      <c r="B41" s="85" t="s">
        <v>430</v>
      </c>
      <c r="C41" s="86" t="s">
        <v>424</v>
      </c>
      <c r="D41" s="106" t="s">
        <v>425</v>
      </c>
      <c r="E41" s="104"/>
      <c r="F41" s="85" t="s">
        <v>426</v>
      </c>
      <c r="G41" s="85" t="s">
        <v>341</v>
      </c>
      <c r="H41" s="89">
        <v>0</v>
      </c>
      <c r="I41" s="89">
        <v>0.9</v>
      </c>
      <c r="J41" s="89">
        <v>0</v>
      </c>
      <c r="K41" s="85" t="s">
        <v>427</v>
      </c>
      <c r="L41" s="85" t="s">
        <v>428</v>
      </c>
      <c r="M41" s="85" t="s">
        <v>429</v>
      </c>
    </row>
    <row r="42" ht="14.4" spans="1:13">
      <c r="A42" s="85"/>
      <c r="B42" s="85" t="s">
        <v>431</v>
      </c>
      <c r="C42" s="86" t="s">
        <v>424</v>
      </c>
      <c r="D42" s="106" t="s">
        <v>425</v>
      </c>
      <c r="E42" s="104"/>
      <c r="F42" s="85" t="s">
        <v>426</v>
      </c>
      <c r="G42" s="85" t="s">
        <v>341</v>
      </c>
      <c r="H42" s="89">
        <v>0</v>
      </c>
      <c r="I42" s="89">
        <v>0.9</v>
      </c>
      <c r="J42" s="89">
        <v>0</v>
      </c>
      <c r="K42" s="85" t="s">
        <v>427</v>
      </c>
      <c r="L42" s="85" t="s">
        <v>428</v>
      </c>
      <c r="M42" s="85" t="s">
        <v>429</v>
      </c>
    </row>
    <row r="43" ht="14.4" spans="1:13">
      <c r="A43" s="85" t="s">
        <v>432</v>
      </c>
      <c r="B43" s="85" t="s">
        <v>433</v>
      </c>
      <c r="C43" s="86" t="s">
        <v>434</v>
      </c>
      <c r="D43" s="104" t="s">
        <v>435</v>
      </c>
      <c r="E43" s="104"/>
      <c r="F43" s="85" t="s">
        <v>436</v>
      </c>
      <c r="G43" s="89">
        <v>0.1</v>
      </c>
      <c r="H43" s="89">
        <v>0</v>
      </c>
      <c r="I43" s="89">
        <v>0.9</v>
      </c>
      <c r="J43" s="89">
        <v>0</v>
      </c>
      <c r="K43" s="85" t="s">
        <v>437</v>
      </c>
      <c r="L43" s="85" t="s">
        <v>438</v>
      </c>
      <c r="M43" s="85" t="s">
        <v>439</v>
      </c>
    </row>
    <row r="44" ht="14.4" spans="1:13">
      <c r="A44" s="85" t="s">
        <v>440</v>
      </c>
      <c r="B44" s="85" t="s">
        <v>313</v>
      </c>
      <c r="C44" s="86" t="s">
        <v>313</v>
      </c>
      <c r="D44" s="87" t="s">
        <v>441</v>
      </c>
      <c r="E44" s="104"/>
      <c r="F44" s="85" t="s">
        <v>442</v>
      </c>
      <c r="G44" s="85" t="s">
        <v>341</v>
      </c>
      <c r="H44" s="89" t="s">
        <v>443</v>
      </c>
      <c r="I44" s="89">
        <v>0.9</v>
      </c>
      <c r="J44" s="89">
        <v>0</v>
      </c>
      <c r="K44" s="85" t="s">
        <v>444</v>
      </c>
      <c r="L44" s="85" t="s">
        <v>445</v>
      </c>
      <c r="M44" s="85" t="s">
        <v>446</v>
      </c>
    </row>
    <row r="51" ht="14.4" customHeight="1"/>
    <row r="59" ht="14.4" customHeight="1"/>
    <row r="67" ht="14.4" customHeight="1"/>
    <row r="81" ht="14.4" customHeight="1"/>
    <row r="85" ht="14.4" customHeight="1"/>
    <row r="88" ht="14.4" customHeight="1"/>
    <row r="99" ht="14.4" customHeight="1"/>
    <row r="111" ht="14.4" customHeight="1"/>
    <row r="116" ht="14.4" customHeight="1"/>
    <row r="124" ht="14.4" customHeight="1"/>
    <row r="128" ht="14.4" customHeight="1"/>
    <row r="144" ht="14.4" customHeight="1"/>
    <row r="156" ht="14.4" customHeight="1"/>
    <row r="159" ht="14.4" customHeight="1"/>
    <row r="164" ht="14.4" customHeight="1"/>
    <row r="171" ht="14.4" customHeight="1"/>
    <row r="175" ht="14.4" customHeight="1"/>
    <row r="182" ht="14.4" customHeight="1"/>
    <row r="189" ht="14.4" customHeight="1"/>
    <row r="196" ht="14.4" customHeight="1"/>
    <row r="204" ht="14.4" customHeight="1"/>
    <row r="214" ht="14.4" customHeight="1"/>
    <row r="218" ht="14.4" customHeight="1"/>
    <row r="222" ht="14.4" customHeight="1"/>
    <row r="226" ht="14.4" customHeight="1"/>
    <row r="247" ht="14.4" customHeight="1"/>
    <row r="265" ht="14.4" customHeight="1"/>
    <row r="272" ht="14.4" customHeight="1"/>
    <row r="275" ht="14.4" customHeight="1"/>
    <row r="278" ht="14.4" customHeight="1"/>
    <row r="289" ht="14.4" customHeight="1"/>
    <row r="294" ht="14.4" customHeight="1"/>
    <row r="298" ht="14.4" customHeight="1"/>
    <row r="300" ht="14.4" customHeight="1"/>
    <row r="308" ht="14.4" customHeight="1"/>
    <row r="316" ht="14.4" customHeight="1"/>
    <row r="319" ht="14.4" customHeight="1"/>
    <row r="321" ht="14.4" customHeight="1"/>
    <row r="329" ht="14.4" customHeight="1"/>
    <row r="336" ht="14.4" customHeight="1"/>
    <row r="341" ht="14.4" customHeight="1"/>
    <row r="344" ht="14.4" customHeight="1"/>
    <row r="350" ht="14.4" customHeight="1"/>
    <row r="358" ht="14.4" customHeight="1"/>
    <row r="360" ht="14.4" customHeight="1"/>
    <row r="374" ht="14.4" customHeight="1"/>
    <row r="386" ht="14.4" customHeight="1"/>
    <row r="392" ht="14.4" customHeight="1"/>
    <row r="403" ht="14.4" customHeight="1"/>
    <row r="405" ht="14.4" customHeight="1"/>
    <row r="412" ht="14.4" customHeight="1"/>
    <row r="422" ht="14.4" customHeight="1"/>
    <row r="428" ht="14.4" customHeight="1"/>
    <row r="432" ht="14.4" customHeight="1"/>
    <row r="435" ht="14.4" customHeight="1"/>
    <row r="449" ht="14.4" customHeight="1"/>
    <row r="452" ht="14.4" customHeight="1"/>
    <row r="458" ht="14.4" customHeight="1"/>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K19"/>
  <sheetViews>
    <sheetView zoomScale="85" zoomScaleNormal="85" workbookViewId="0">
      <selection activeCell="E15" sqref="E15"/>
    </sheetView>
  </sheetViews>
  <sheetFormatPr defaultColWidth="8.88888888888889" defaultRowHeight="13.8"/>
  <cols>
    <col min="1" max="1" width="8.88888888888889" style="71" customWidth="1"/>
    <col min="2" max="2" width="8.88888888888889" style="71"/>
    <col min="3" max="3" width="17.2222222222222" style="71" customWidth="1"/>
    <col min="4" max="4" width="9.77777777777778" style="71" customWidth="1"/>
    <col min="5" max="5" width="40.6666666666667" style="71" customWidth="1"/>
    <col min="6" max="6" width="27.3333333333333" style="71" customWidth="1"/>
    <col min="7" max="7" width="20.4444444444444" style="71" customWidth="1"/>
    <col min="8" max="16384" width="8.88888888888889" style="71"/>
  </cols>
  <sheetData>
    <row r="1" spans="1:7">
      <c r="A1" s="71" t="s">
        <v>238</v>
      </c>
      <c r="B1" s="71" t="s">
        <v>239</v>
      </c>
      <c r="C1" s="71" t="s">
        <v>255</v>
      </c>
      <c r="D1" s="71" t="s">
        <v>256</v>
      </c>
      <c r="E1" s="71" t="s">
        <v>248</v>
      </c>
      <c r="F1" s="71" t="s">
        <v>257</v>
      </c>
      <c r="G1" s="72" t="s">
        <v>250</v>
      </c>
    </row>
    <row r="2" s="70" customFormat="1" ht="15.6" spans="1:11">
      <c r="A2" s="70" t="s">
        <v>258</v>
      </c>
      <c r="B2" s="70" t="s">
        <v>259</v>
      </c>
      <c r="C2" s="73" t="s">
        <v>260</v>
      </c>
      <c r="D2" s="74">
        <v>0.05</v>
      </c>
      <c r="E2" s="75" t="s">
        <v>261</v>
      </c>
      <c r="F2" s="75" t="s">
        <v>262</v>
      </c>
      <c r="G2" s="75" t="s">
        <v>263</v>
      </c>
      <c r="I2" s="72"/>
      <c r="J2" s="72"/>
      <c r="K2" s="80"/>
    </row>
    <row r="3" s="70" customFormat="1" ht="15.6" spans="1:11">
      <c r="A3" s="70" t="s">
        <v>447</v>
      </c>
      <c r="B3" s="70" t="s">
        <v>448</v>
      </c>
      <c r="C3" s="73" t="s">
        <v>260</v>
      </c>
      <c r="D3" s="74">
        <v>0.05</v>
      </c>
      <c r="E3" s="75" t="s">
        <v>261</v>
      </c>
      <c r="F3" s="75" t="s">
        <v>262</v>
      </c>
      <c r="G3" s="75" t="s">
        <v>263</v>
      </c>
      <c r="K3" s="75"/>
    </row>
    <row r="4" s="70" customFormat="1" ht="15.6" spans="1:7">
      <c r="A4" s="70" t="s">
        <v>449</v>
      </c>
      <c r="B4" s="70" t="s">
        <v>450</v>
      </c>
      <c r="C4" s="73" t="s">
        <v>260</v>
      </c>
      <c r="D4" s="74">
        <v>0.05</v>
      </c>
      <c r="E4" s="75" t="s">
        <v>261</v>
      </c>
      <c r="F4" s="75" t="s">
        <v>262</v>
      </c>
      <c r="G4" s="75" t="s">
        <v>263</v>
      </c>
    </row>
    <row r="5" s="70" customFormat="1" ht="15.6" spans="2:7">
      <c r="B5" s="70" t="s">
        <v>172</v>
      </c>
      <c r="C5" s="73" t="s">
        <v>260</v>
      </c>
      <c r="D5" s="74">
        <v>0.05</v>
      </c>
      <c r="E5" s="75" t="s">
        <v>261</v>
      </c>
      <c r="F5" s="75" t="s">
        <v>262</v>
      </c>
      <c r="G5" s="75" t="s">
        <v>263</v>
      </c>
    </row>
    <row r="6" ht="15.6" spans="1:7">
      <c r="A6" s="76"/>
      <c r="B6" s="70" t="s">
        <v>451</v>
      </c>
      <c r="C6" s="73" t="s">
        <v>260</v>
      </c>
      <c r="D6" s="74">
        <v>0.05</v>
      </c>
      <c r="E6" s="75" t="s">
        <v>261</v>
      </c>
      <c r="F6" s="75" t="s">
        <v>262</v>
      </c>
      <c r="G6" s="75" t="s">
        <v>263</v>
      </c>
    </row>
    <row r="7" ht="15.6" spans="1:7">
      <c r="A7" s="76"/>
      <c r="B7" s="70" t="s">
        <v>452</v>
      </c>
      <c r="C7" s="73" t="s">
        <v>260</v>
      </c>
      <c r="D7" s="74">
        <v>0.05</v>
      </c>
      <c r="E7" s="75" t="s">
        <v>261</v>
      </c>
      <c r="F7" s="75" t="s">
        <v>262</v>
      </c>
      <c r="G7" s="75" t="s">
        <v>263</v>
      </c>
    </row>
    <row r="8" ht="15.6" spans="1:7">
      <c r="A8" s="76"/>
      <c r="B8" s="70" t="s">
        <v>264</v>
      </c>
      <c r="C8" s="73" t="s">
        <v>260</v>
      </c>
      <c r="D8" s="74">
        <v>0.05</v>
      </c>
      <c r="E8" s="75" t="s">
        <v>261</v>
      </c>
      <c r="F8" s="75" t="s">
        <v>262</v>
      </c>
      <c r="G8" s="75" t="s">
        <v>263</v>
      </c>
    </row>
    <row r="9" ht="15.6" spans="1:7">
      <c r="A9" s="71" t="s">
        <v>265</v>
      </c>
      <c r="B9" s="71" t="s">
        <v>266</v>
      </c>
      <c r="C9" s="77" t="s">
        <v>267</v>
      </c>
      <c r="D9" s="71">
        <v>0</v>
      </c>
      <c r="E9" s="75" t="s">
        <v>268</v>
      </c>
      <c r="F9" s="75" t="s">
        <v>269</v>
      </c>
      <c r="G9" s="75" t="s">
        <v>263</v>
      </c>
    </row>
    <row r="10" ht="15.6" spans="1:7">
      <c r="A10" s="71" t="s">
        <v>270</v>
      </c>
      <c r="B10" s="70" t="s">
        <v>259</v>
      </c>
      <c r="C10" s="71" t="s">
        <v>271</v>
      </c>
      <c r="D10" s="71">
        <v>0</v>
      </c>
      <c r="E10" s="75" t="s">
        <v>272</v>
      </c>
      <c r="F10" s="75" t="s">
        <v>273</v>
      </c>
      <c r="G10" s="75" t="s">
        <v>263</v>
      </c>
    </row>
    <row r="11" ht="15.6" spans="1:7">
      <c r="A11" s="70" t="s">
        <v>258</v>
      </c>
      <c r="B11" s="70" t="s">
        <v>259</v>
      </c>
      <c r="C11" s="71" t="s">
        <v>271</v>
      </c>
      <c r="D11" s="71">
        <v>0</v>
      </c>
      <c r="E11" s="75" t="s">
        <v>272</v>
      </c>
      <c r="F11" s="75" t="s">
        <v>273</v>
      </c>
      <c r="G11" s="75" t="s">
        <v>263</v>
      </c>
    </row>
    <row r="12" ht="15.6" spans="1:7">
      <c r="A12" s="70" t="s">
        <v>447</v>
      </c>
      <c r="B12" s="70" t="s">
        <v>259</v>
      </c>
      <c r="C12" s="71" t="s">
        <v>271</v>
      </c>
      <c r="D12" s="71">
        <v>0</v>
      </c>
      <c r="E12" s="75" t="s">
        <v>272</v>
      </c>
      <c r="F12" s="75" t="s">
        <v>273</v>
      </c>
      <c r="G12" s="75" t="s">
        <v>263</v>
      </c>
    </row>
    <row r="13" ht="15.6" spans="1:7">
      <c r="A13" s="70" t="s">
        <v>449</v>
      </c>
      <c r="B13" s="70" t="s">
        <v>259</v>
      </c>
      <c r="C13" s="71" t="s">
        <v>271</v>
      </c>
      <c r="D13" s="71">
        <v>0</v>
      </c>
      <c r="E13" s="75" t="s">
        <v>272</v>
      </c>
      <c r="F13" s="75" t="s">
        <v>273</v>
      </c>
      <c r="G13" s="75" t="s">
        <v>263</v>
      </c>
    </row>
    <row r="14" ht="15.6" spans="1:7">
      <c r="A14" s="70" t="s">
        <v>270</v>
      </c>
      <c r="B14" s="70" t="s">
        <v>266</v>
      </c>
      <c r="C14" s="77" t="s">
        <v>267</v>
      </c>
      <c r="D14" s="71">
        <v>0</v>
      </c>
      <c r="E14" s="75" t="s">
        <v>274</v>
      </c>
      <c r="F14" s="75" t="s">
        <v>269</v>
      </c>
      <c r="G14" s="75" t="s">
        <v>263</v>
      </c>
    </row>
    <row r="15" ht="15.6" spans="1:7">
      <c r="A15" s="70" t="s">
        <v>324</v>
      </c>
      <c r="B15" s="70" t="s">
        <v>325</v>
      </c>
      <c r="C15" s="77" t="s">
        <v>267</v>
      </c>
      <c r="D15" s="71">
        <v>0</v>
      </c>
      <c r="E15" s="75" t="s">
        <v>274</v>
      </c>
      <c r="F15" s="75" t="s">
        <v>269</v>
      </c>
      <c r="G15" s="75" t="s">
        <v>263</v>
      </c>
    </row>
    <row r="16" ht="15.6" spans="1:7">
      <c r="A16" s="70"/>
      <c r="B16" s="70" t="s">
        <v>326</v>
      </c>
      <c r="C16" s="77" t="s">
        <v>267</v>
      </c>
      <c r="D16" s="71">
        <v>0</v>
      </c>
      <c r="E16" s="75" t="s">
        <v>274</v>
      </c>
      <c r="F16" s="75" t="s">
        <v>269</v>
      </c>
      <c r="G16" s="75" t="s">
        <v>263</v>
      </c>
    </row>
    <row r="17" ht="15.6" spans="1:7">
      <c r="A17" s="70" t="s">
        <v>329</v>
      </c>
      <c r="B17" s="70" t="s">
        <v>331</v>
      </c>
      <c r="C17" s="78" t="s">
        <v>453</v>
      </c>
      <c r="D17" s="74">
        <v>0.1</v>
      </c>
      <c r="E17" s="75" t="s">
        <v>454</v>
      </c>
      <c r="F17" s="75" t="s">
        <v>455</v>
      </c>
      <c r="G17" s="75" t="s">
        <v>456</v>
      </c>
    </row>
    <row r="18" ht="15.6" spans="1:7">
      <c r="A18" s="70" t="s">
        <v>253</v>
      </c>
      <c r="B18" s="70" t="s">
        <v>254</v>
      </c>
      <c r="C18" s="78" t="s">
        <v>453</v>
      </c>
      <c r="D18" s="74">
        <v>0.1</v>
      </c>
      <c r="E18" s="75" t="s">
        <v>454</v>
      </c>
      <c r="F18" s="75" t="s">
        <v>455</v>
      </c>
      <c r="G18" s="75" t="s">
        <v>456</v>
      </c>
    </row>
    <row r="19" ht="15.6" spans="6:6">
      <c r="F19" s="79"/>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H66"/>
  <sheetViews>
    <sheetView topLeftCell="B1" workbookViewId="0">
      <selection activeCell="E15" sqref="E15"/>
    </sheetView>
  </sheetViews>
  <sheetFormatPr defaultColWidth="9" defaultRowHeight="13.8" outlineLevelCol="7"/>
  <cols>
    <col min="1" max="1" width="60" style="59" customWidth="1"/>
    <col min="2" max="2" width="37.1111111111111" style="62" customWidth="1"/>
    <col min="3" max="3" width="24.2222222222222" style="62" customWidth="1"/>
    <col min="4" max="4" width="13.3333333333333" style="62" customWidth="1"/>
    <col min="5" max="5" width="24.6666666666667" style="63" customWidth="1"/>
    <col min="6" max="6" width="22.4444444444444" style="63" customWidth="1"/>
    <col min="7" max="7" width="33" style="63" customWidth="1"/>
    <col min="8" max="8" width="52.2222222222222" style="58" customWidth="1"/>
    <col min="9" max="16384" width="9" style="59"/>
  </cols>
  <sheetData>
    <row r="1" ht="14.4" spans="1:8">
      <c r="A1" s="59" t="s">
        <v>457</v>
      </c>
      <c r="B1" s="62" t="s">
        <v>241</v>
      </c>
      <c r="C1" s="60" t="s">
        <v>197</v>
      </c>
      <c r="D1" s="60" t="s">
        <v>458</v>
      </c>
      <c r="E1" s="63" t="s">
        <v>459</v>
      </c>
      <c r="F1" s="63" t="s">
        <v>460</v>
      </c>
      <c r="G1" s="63" t="s">
        <v>461</v>
      </c>
      <c r="H1" s="58" t="s">
        <v>462</v>
      </c>
    </row>
    <row r="2" ht="14.4" spans="1:8">
      <c r="A2" s="59" t="str">
        <f>C2&amp;H2</f>
        <v>颗粒物《大气污染物排放限值》(DB44/27-2001)</v>
      </c>
      <c r="B2" s="60" t="s">
        <v>281</v>
      </c>
      <c r="C2" s="60" t="s">
        <v>463</v>
      </c>
      <c r="D2" s="60" t="s">
        <v>464</v>
      </c>
      <c r="E2" s="63" t="s">
        <v>465</v>
      </c>
      <c r="F2" s="63" t="s">
        <v>465</v>
      </c>
      <c r="G2" s="64">
        <v>1</v>
      </c>
      <c r="H2" s="58" t="s">
        <v>466</v>
      </c>
    </row>
    <row r="3" ht="14.4" spans="1:8">
      <c r="A3" s="59" t="str">
        <f t="shared" ref="A3:A66" si="0">C3&amp;H3</f>
        <v>颗粒物《大气污染物排放限值》(DB44/27-2001)</v>
      </c>
      <c r="B3" s="60" t="s">
        <v>467</v>
      </c>
      <c r="C3" s="60" t="s">
        <v>463</v>
      </c>
      <c r="D3" s="60" t="s">
        <v>464</v>
      </c>
      <c r="E3" s="63" t="s">
        <v>465</v>
      </c>
      <c r="F3" s="63" t="s">
        <v>465</v>
      </c>
      <c r="G3" s="64">
        <v>1</v>
      </c>
      <c r="H3" s="58" t="s">
        <v>466</v>
      </c>
    </row>
    <row r="4" ht="14.4" spans="1:8">
      <c r="A4" s="59" t="str">
        <f t="shared" si="0"/>
        <v>颗粒物《大气污染物排放限值》(DB44/27-2001)</v>
      </c>
      <c r="B4" s="62" t="s">
        <v>289</v>
      </c>
      <c r="C4" s="60" t="s">
        <v>463</v>
      </c>
      <c r="D4" s="60" t="s">
        <v>468</v>
      </c>
      <c r="E4" s="63">
        <v>120</v>
      </c>
      <c r="F4" s="63">
        <v>2.9</v>
      </c>
      <c r="G4" s="64">
        <v>1</v>
      </c>
      <c r="H4" s="58" t="s">
        <v>466</v>
      </c>
    </row>
    <row r="5" ht="14.4" spans="1:8">
      <c r="A5" s="59" t="str">
        <f t="shared" si="0"/>
        <v>颗粒物《大气污染物排放限值》(DB44/27-2001)</v>
      </c>
      <c r="B5" s="60" t="s">
        <v>295</v>
      </c>
      <c r="C5" s="60" t="s">
        <v>463</v>
      </c>
      <c r="D5" s="60" t="s">
        <v>464</v>
      </c>
      <c r="E5" s="63" t="s">
        <v>465</v>
      </c>
      <c r="F5" s="63" t="s">
        <v>465</v>
      </c>
      <c r="G5" s="64">
        <v>1</v>
      </c>
      <c r="H5" s="58" t="s">
        <v>466</v>
      </c>
    </row>
    <row r="6" ht="14.4" spans="1:8">
      <c r="A6" s="59" t="str">
        <f t="shared" si="0"/>
        <v>颗粒物《大气污染物排放限值》(DB44/27-2001)</v>
      </c>
      <c r="B6" s="60" t="s">
        <v>469</v>
      </c>
      <c r="C6" s="60" t="s">
        <v>463</v>
      </c>
      <c r="D6" s="60" t="s">
        <v>468</v>
      </c>
      <c r="E6" s="63">
        <v>120</v>
      </c>
      <c r="F6" s="63">
        <v>2.9</v>
      </c>
      <c r="G6" s="64">
        <v>1</v>
      </c>
      <c r="H6" s="58" t="s">
        <v>466</v>
      </c>
    </row>
    <row r="7" ht="14.4" spans="1:8">
      <c r="A7" s="59" t="str">
        <f t="shared" si="0"/>
        <v>颗粒物《大气污染物排放限值》(DB44/27-2001)</v>
      </c>
      <c r="B7" s="60" t="s">
        <v>314</v>
      </c>
      <c r="C7" s="60" t="s">
        <v>463</v>
      </c>
      <c r="D7" s="60" t="s">
        <v>468</v>
      </c>
      <c r="E7" s="63">
        <v>120</v>
      </c>
      <c r="F7" s="63">
        <v>2.9</v>
      </c>
      <c r="G7" s="64">
        <v>1</v>
      </c>
      <c r="H7" s="58" t="s">
        <v>466</v>
      </c>
    </row>
    <row r="8" ht="14.4" spans="1:8">
      <c r="A8" s="59" t="str">
        <f t="shared" si="0"/>
        <v>颗粒物《大气污染物排放限值》(DB44/27-2001)</v>
      </c>
      <c r="B8" s="65" t="s">
        <v>319</v>
      </c>
      <c r="C8" s="60" t="s">
        <v>463</v>
      </c>
      <c r="D8" s="60" t="s">
        <v>468</v>
      </c>
      <c r="E8" s="63">
        <v>120</v>
      </c>
      <c r="F8" s="63">
        <v>2.9</v>
      </c>
      <c r="G8" s="64">
        <v>1</v>
      </c>
      <c r="H8" s="58" t="s">
        <v>466</v>
      </c>
    </row>
    <row r="9" ht="14.4" spans="1:8">
      <c r="A9" s="59" t="str">
        <f t="shared" si="0"/>
        <v>颗粒物《大气污染物排放限值》(DB44/27-2001)</v>
      </c>
      <c r="B9" s="65" t="s">
        <v>319</v>
      </c>
      <c r="C9" s="60" t="s">
        <v>463</v>
      </c>
      <c r="D9" s="60" t="s">
        <v>470</v>
      </c>
      <c r="E9" s="63" t="s">
        <v>465</v>
      </c>
      <c r="F9" s="63" t="s">
        <v>465</v>
      </c>
      <c r="G9" s="64">
        <v>1</v>
      </c>
      <c r="H9" s="58" t="s">
        <v>466</v>
      </c>
    </row>
    <row r="10" ht="14.4" spans="1:8">
      <c r="A10" s="59" t="str">
        <f t="shared" si="0"/>
        <v>VOCs《印刷行业挥发性有机化合物排放标准》(DB44/815-2010)</v>
      </c>
      <c r="B10" s="60" t="s">
        <v>471</v>
      </c>
      <c r="C10" s="60" t="s">
        <v>203</v>
      </c>
      <c r="D10" s="60" t="s">
        <v>468</v>
      </c>
      <c r="E10" s="63">
        <v>120</v>
      </c>
      <c r="F10" s="63">
        <v>5.1</v>
      </c>
      <c r="G10" s="64">
        <v>2</v>
      </c>
      <c r="H10" s="58" t="s">
        <v>204</v>
      </c>
    </row>
    <row r="11" ht="14.4" spans="1:8">
      <c r="A11" s="59" t="str">
        <f t="shared" si="0"/>
        <v>VOCs《印刷行业挥发性有机化合物排放标准》(DB44/815-2010)</v>
      </c>
      <c r="B11" s="60" t="s">
        <v>472</v>
      </c>
      <c r="C11" s="60" t="s">
        <v>203</v>
      </c>
      <c r="D11" s="60" t="s">
        <v>468</v>
      </c>
      <c r="E11" s="63">
        <v>120</v>
      </c>
      <c r="F11" s="63">
        <v>5.1</v>
      </c>
      <c r="G11" s="64">
        <v>2</v>
      </c>
      <c r="H11" s="58" t="s">
        <v>204</v>
      </c>
    </row>
    <row r="12" ht="14.4" spans="1:8">
      <c r="A12" s="59" t="str">
        <f t="shared" si="0"/>
        <v>VOCs《印刷行业挥发性有机化合物排放标准》(DB44/815-2010)</v>
      </c>
      <c r="B12" s="60" t="s">
        <v>473</v>
      </c>
      <c r="C12" s="60" t="s">
        <v>203</v>
      </c>
      <c r="D12" s="60" t="s">
        <v>468</v>
      </c>
      <c r="E12" s="63">
        <v>80</v>
      </c>
      <c r="F12" s="63">
        <v>5.1</v>
      </c>
      <c r="G12" s="64">
        <v>2</v>
      </c>
      <c r="H12" s="58" t="s">
        <v>204</v>
      </c>
    </row>
    <row r="13" ht="14.4" spans="1:8">
      <c r="A13" s="59" t="str">
        <f t="shared" si="0"/>
        <v>VOCs《印刷行业挥发性有机化合物排放标准》(DB44/815-2010)</v>
      </c>
      <c r="B13" s="60" t="s">
        <v>474</v>
      </c>
      <c r="C13" s="60" t="s">
        <v>203</v>
      </c>
      <c r="D13" s="60" t="s">
        <v>468</v>
      </c>
      <c r="E13" s="63">
        <v>120</v>
      </c>
      <c r="F13" s="63">
        <v>5.1</v>
      </c>
      <c r="G13" s="64">
        <v>2</v>
      </c>
      <c r="H13" s="58" t="s">
        <v>204</v>
      </c>
    </row>
    <row r="14" ht="14.4" spans="1:8">
      <c r="A14" s="59" t="str">
        <f t="shared" si="0"/>
        <v>VOCs《印刷行业挥发性有机化合物排放标准》(DB44/815-2010)</v>
      </c>
      <c r="B14" s="60" t="s">
        <v>475</v>
      </c>
      <c r="C14" s="60" t="s">
        <v>203</v>
      </c>
      <c r="D14" s="60" t="s">
        <v>468</v>
      </c>
      <c r="E14" s="63">
        <v>120</v>
      </c>
      <c r="F14" s="63">
        <v>5.1</v>
      </c>
      <c r="G14" s="64">
        <v>2</v>
      </c>
      <c r="H14" s="58" t="s">
        <v>204</v>
      </c>
    </row>
    <row r="15" ht="14.4" spans="1:8">
      <c r="A15" s="59" t="str">
        <f t="shared" si="0"/>
        <v>甲苯与二甲苯合计《印刷行业挥发性有机化合物排放标准》(DB44/815-2010)</v>
      </c>
      <c r="B15" s="60" t="s">
        <v>475</v>
      </c>
      <c r="C15" s="60" t="s">
        <v>476</v>
      </c>
      <c r="D15" s="60" t="s">
        <v>468</v>
      </c>
      <c r="E15" s="63">
        <v>15</v>
      </c>
      <c r="F15" s="63">
        <v>1.6</v>
      </c>
      <c r="G15" s="64" t="s">
        <v>465</v>
      </c>
      <c r="H15" s="58" t="s">
        <v>204</v>
      </c>
    </row>
    <row r="16" ht="14.4" spans="1:8">
      <c r="A16" s="59" t="str">
        <f t="shared" si="0"/>
        <v>甲苯《印刷行业挥发性有机化合物排放标准》(DB44/815-2010)</v>
      </c>
      <c r="B16" s="60" t="s">
        <v>475</v>
      </c>
      <c r="C16" s="60" t="s">
        <v>477</v>
      </c>
      <c r="D16" s="60" t="s">
        <v>464</v>
      </c>
      <c r="E16" s="63" t="s">
        <v>465</v>
      </c>
      <c r="F16" s="63" t="s">
        <v>465</v>
      </c>
      <c r="G16" s="64">
        <v>0.6</v>
      </c>
      <c r="H16" s="58" t="s">
        <v>204</v>
      </c>
    </row>
    <row r="17" ht="14.4" spans="1:8">
      <c r="A17" s="59" t="str">
        <f t="shared" si="0"/>
        <v>二甲苯《印刷行业挥发性有机化合物排放标准》(DB44/815-2010)</v>
      </c>
      <c r="B17" s="60" t="s">
        <v>475</v>
      </c>
      <c r="C17" s="60" t="s">
        <v>478</v>
      </c>
      <c r="D17" s="60" t="s">
        <v>464</v>
      </c>
      <c r="E17" s="63" t="s">
        <v>465</v>
      </c>
      <c r="F17" s="63" t="s">
        <v>465</v>
      </c>
      <c r="G17" s="64">
        <v>0.2</v>
      </c>
      <c r="H17" s="58" t="s">
        <v>204</v>
      </c>
    </row>
    <row r="18" ht="14.4" spans="1:8">
      <c r="A18" s="59" t="str">
        <f t="shared" si="0"/>
        <v>VOCs《印刷行业挥发性有机化合物排放标准》(DB44/815-2010)</v>
      </c>
      <c r="B18" s="60" t="s">
        <v>479</v>
      </c>
      <c r="C18" s="60" t="s">
        <v>203</v>
      </c>
      <c r="D18" s="60" t="s">
        <v>468</v>
      </c>
      <c r="E18" s="63">
        <v>120</v>
      </c>
      <c r="F18" s="63">
        <v>5.1</v>
      </c>
      <c r="G18" s="64">
        <v>2</v>
      </c>
      <c r="H18" s="58" t="s">
        <v>204</v>
      </c>
    </row>
    <row r="19" ht="14.4" spans="1:8">
      <c r="A19" s="59" t="str">
        <f t="shared" si="0"/>
        <v>甲苯与二甲苯合计《印刷行业挥发性有机化合物排放标准》(DB44/815-2010)</v>
      </c>
      <c r="B19" s="60" t="s">
        <v>479</v>
      </c>
      <c r="C19" s="60" t="s">
        <v>476</v>
      </c>
      <c r="D19" s="60" t="s">
        <v>468</v>
      </c>
      <c r="E19" s="63">
        <v>15</v>
      </c>
      <c r="F19" s="63">
        <v>1.6</v>
      </c>
      <c r="G19" s="64" t="s">
        <v>465</v>
      </c>
      <c r="H19" s="58" t="s">
        <v>204</v>
      </c>
    </row>
    <row r="20" ht="14.4" spans="1:8">
      <c r="A20" s="59" t="str">
        <f t="shared" si="0"/>
        <v>甲苯《印刷行业挥发性有机化合物排放标准》(DB44/815-2010)</v>
      </c>
      <c r="B20" s="60" t="s">
        <v>479</v>
      </c>
      <c r="C20" s="60" t="s">
        <v>477</v>
      </c>
      <c r="D20" s="60" t="s">
        <v>464</v>
      </c>
      <c r="E20" s="63" t="s">
        <v>465</v>
      </c>
      <c r="F20" s="63" t="s">
        <v>465</v>
      </c>
      <c r="G20" s="64">
        <v>0.6</v>
      </c>
      <c r="H20" s="58" t="s">
        <v>204</v>
      </c>
    </row>
    <row r="21" ht="14.4" spans="1:8">
      <c r="A21" s="59" t="str">
        <f t="shared" si="0"/>
        <v>二甲苯《印刷行业挥发性有机化合物排放标准》(DB44/815-2010)</v>
      </c>
      <c r="B21" s="60" t="s">
        <v>479</v>
      </c>
      <c r="C21" s="60" t="s">
        <v>478</v>
      </c>
      <c r="D21" s="60" t="s">
        <v>464</v>
      </c>
      <c r="E21" s="63" t="s">
        <v>465</v>
      </c>
      <c r="F21" s="63" t="s">
        <v>465</v>
      </c>
      <c r="G21" s="64">
        <v>0.2</v>
      </c>
      <c r="H21" s="58" t="s">
        <v>204</v>
      </c>
    </row>
    <row r="22" ht="14.4" spans="1:8">
      <c r="A22" s="59" t="str">
        <f t="shared" si="0"/>
        <v>VOCs《印刷行业挥发性有机化合物排放标准》(DB44/815-2010)</v>
      </c>
      <c r="B22" s="60" t="s">
        <v>480</v>
      </c>
      <c r="C22" s="60" t="s">
        <v>203</v>
      </c>
      <c r="D22" s="60" t="s">
        <v>468</v>
      </c>
      <c r="E22" s="63">
        <v>80</v>
      </c>
      <c r="F22" s="63">
        <v>5.1</v>
      </c>
      <c r="G22" s="64">
        <v>2</v>
      </c>
      <c r="H22" s="58" t="s">
        <v>204</v>
      </c>
    </row>
    <row r="23" ht="14.4" spans="1:8">
      <c r="A23" s="59" t="str">
        <f t="shared" si="0"/>
        <v>甲苯与二甲苯合计《印刷行业挥发性有机化合物排放标准》(DB44/815-2010)</v>
      </c>
      <c r="B23" s="60" t="s">
        <v>480</v>
      </c>
      <c r="C23" s="60" t="s">
        <v>476</v>
      </c>
      <c r="D23" s="60" t="s">
        <v>468</v>
      </c>
      <c r="E23" s="63">
        <v>15</v>
      </c>
      <c r="F23" s="63">
        <v>1.6</v>
      </c>
      <c r="G23" s="64" t="s">
        <v>465</v>
      </c>
      <c r="H23" s="58" t="s">
        <v>204</v>
      </c>
    </row>
    <row r="24" ht="14.4" spans="1:8">
      <c r="A24" s="59" t="str">
        <f t="shared" si="0"/>
        <v>甲苯《印刷行业挥发性有机化合物排放标准》(DB44/815-2010)</v>
      </c>
      <c r="B24" s="60" t="s">
        <v>480</v>
      </c>
      <c r="C24" s="60" t="s">
        <v>477</v>
      </c>
      <c r="D24" s="60" t="s">
        <v>464</v>
      </c>
      <c r="E24" s="63" t="s">
        <v>465</v>
      </c>
      <c r="F24" s="63" t="s">
        <v>465</v>
      </c>
      <c r="G24" s="64">
        <v>0.6</v>
      </c>
      <c r="H24" s="58" t="s">
        <v>204</v>
      </c>
    </row>
    <row r="25" ht="14.4" spans="1:8">
      <c r="A25" s="59" t="str">
        <f t="shared" si="0"/>
        <v>二甲苯《印刷行业挥发性有机化合物排放标准》(DB44/815-2010)</v>
      </c>
      <c r="B25" s="60" t="s">
        <v>480</v>
      </c>
      <c r="C25" s="60" t="s">
        <v>478</v>
      </c>
      <c r="D25" s="60" t="s">
        <v>464</v>
      </c>
      <c r="E25" s="63" t="s">
        <v>465</v>
      </c>
      <c r="F25" s="63" t="s">
        <v>465</v>
      </c>
      <c r="G25" s="64">
        <v>0.2</v>
      </c>
      <c r="H25" s="58" t="s">
        <v>204</v>
      </c>
    </row>
    <row r="26" ht="14.4" spans="1:8">
      <c r="A26" s="59" t="str">
        <f t="shared" si="0"/>
        <v>VOCs《印刷行业挥发性有机化合物排放标准》(DB44/815-2010)</v>
      </c>
      <c r="B26" s="60" t="s">
        <v>481</v>
      </c>
      <c r="C26" s="60" t="s">
        <v>203</v>
      </c>
      <c r="D26" s="60" t="s">
        <v>468</v>
      </c>
      <c r="E26" s="63">
        <v>120</v>
      </c>
      <c r="F26" s="63">
        <v>5.1</v>
      </c>
      <c r="G26" s="64">
        <v>2</v>
      </c>
      <c r="H26" s="58" t="s">
        <v>204</v>
      </c>
    </row>
    <row r="27" ht="14.4" spans="1:8">
      <c r="A27" s="59" t="str">
        <f t="shared" si="0"/>
        <v>甲苯与二甲苯合计《印刷行业挥发性有机化合物排放标准》(DB44/815-2010)</v>
      </c>
      <c r="B27" s="60" t="s">
        <v>481</v>
      </c>
      <c r="C27" s="60" t="s">
        <v>476</v>
      </c>
      <c r="D27" s="60" t="s">
        <v>468</v>
      </c>
      <c r="E27" s="63">
        <v>15</v>
      </c>
      <c r="F27" s="63">
        <v>1.6</v>
      </c>
      <c r="G27" s="64" t="s">
        <v>465</v>
      </c>
      <c r="H27" s="58" t="s">
        <v>204</v>
      </c>
    </row>
    <row r="28" ht="14.4" spans="1:8">
      <c r="A28" s="59" t="str">
        <f t="shared" si="0"/>
        <v>甲苯《印刷行业挥发性有机化合物排放标准》(DB44/815-2010)</v>
      </c>
      <c r="B28" s="60" t="s">
        <v>481</v>
      </c>
      <c r="C28" s="60" t="s">
        <v>477</v>
      </c>
      <c r="D28" s="60" t="s">
        <v>464</v>
      </c>
      <c r="E28" s="63" t="s">
        <v>465</v>
      </c>
      <c r="F28" s="63" t="s">
        <v>465</v>
      </c>
      <c r="G28" s="64">
        <v>0.6</v>
      </c>
      <c r="H28" s="58" t="s">
        <v>204</v>
      </c>
    </row>
    <row r="29" ht="14.4" spans="1:8">
      <c r="A29" s="59" t="str">
        <f t="shared" si="0"/>
        <v>二甲苯《印刷行业挥发性有机化合物排放标准》(DB44/815-2010)</v>
      </c>
      <c r="B29" s="60" t="s">
        <v>481</v>
      </c>
      <c r="C29" s="60" t="s">
        <v>478</v>
      </c>
      <c r="D29" s="60" t="s">
        <v>464</v>
      </c>
      <c r="E29" s="63" t="s">
        <v>465</v>
      </c>
      <c r="F29" s="63" t="s">
        <v>465</v>
      </c>
      <c r="G29" s="64">
        <v>0.2</v>
      </c>
      <c r="H29" s="58" t="s">
        <v>204</v>
      </c>
    </row>
    <row r="30" ht="14.4" spans="1:8">
      <c r="A30" s="59" t="str">
        <f t="shared" si="0"/>
        <v>VOCs《印刷行业挥发性有机化合物排放标准》(DB44/815-2010)</v>
      </c>
      <c r="B30" s="60" t="s">
        <v>482</v>
      </c>
      <c r="C30" s="60" t="s">
        <v>203</v>
      </c>
      <c r="D30" s="60" t="s">
        <v>468</v>
      </c>
      <c r="E30" s="63">
        <v>80</v>
      </c>
      <c r="F30" s="63">
        <v>5.1</v>
      </c>
      <c r="G30" s="64">
        <v>2</v>
      </c>
      <c r="H30" s="58" t="s">
        <v>204</v>
      </c>
    </row>
    <row r="31" ht="14.4" spans="1:8">
      <c r="A31" s="59" t="str">
        <f t="shared" si="0"/>
        <v>甲苯与二甲苯合计《印刷行业挥发性有机化合物排放标准》(DB44/815-2010)</v>
      </c>
      <c r="B31" s="60" t="s">
        <v>482</v>
      </c>
      <c r="C31" s="60" t="s">
        <v>476</v>
      </c>
      <c r="D31" s="60" t="s">
        <v>468</v>
      </c>
      <c r="E31" s="63">
        <v>15</v>
      </c>
      <c r="F31" s="63">
        <v>1.6</v>
      </c>
      <c r="G31" s="64" t="s">
        <v>465</v>
      </c>
      <c r="H31" s="58" t="s">
        <v>204</v>
      </c>
    </row>
    <row r="32" ht="14.4" spans="1:8">
      <c r="A32" s="59" t="str">
        <f t="shared" si="0"/>
        <v>甲苯《印刷行业挥发性有机化合物排放标准》(DB44/815-2010)</v>
      </c>
      <c r="B32" s="60" t="s">
        <v>482</v>
      </c>
      <c r="C32" s="60" t="s">
        <v>477</v>
      </c>
      <c r="D32" s="60" t="s">
        <v>464</v>
      </c>
      <c r="E32" s="63" t="s">
        <v>465</v>
      </c>
      <c r="F32" s="63" t="s">
        <v>465</v>
      </c>
      <c r="G32" s="64">
        <v>0.6</v>
      </c>
      <c r="H32" s="58" t="s">
        <v>204</v>
      </c>
    </row>
    <row r="33" ht="14.4" spans="1:8">
      <c r="A33" s="59" t="str">
        <f t="shared" si="0"/>
        <v>二甲苯《印刷行业挥发性有机化合物排放标准》(DB44/815-2010)</v>
      </c>
      <c r="B33" s="60" t="s">
        <v>482</v>
      </c>
      <c r="C33" s="60" t="s">
        <v>478</v>
      </c>
      <c r="D33" s="60" t="s">
        <v>464</v>
      </c>
      <c r="E33" s="63" t="s">
        <v>465</v>
      </c>
      <c r="F33" s="63" t="s">
        <v>465</v>
      </c>
      <c r="G33" s="64">
        <v>0.2</v>
      </c>
      <c r="H33" s="58" t="s">
        <v>204</v>
      </c>
    </row>
    <row r="34" ht="14.4" spans="1:8">
      <c r="A34" s="59" t="str">
        <f t="shared" si="0"/>
        <v>VOCs《家具制造行业挥发性有机化合物排放标准》(DB44/814-2010)</v>
      </c>
      <c r="B34" s="62" t="s">
        <v>349</v>
      </c>
      <c r="C34" s="60" t="s">
        <v>203</v>
      </c>
      <c r="D34" s="60" t="s">
        <v>468</v>
      </c>
      <c r="E34" s="63">
        <v>30</v>
      </c>
      <c r="F34" s="63">
        <v>2.9</v>
      </c>
      <c r="G34" s="64">
        <v>2</v>
      </c>
      <c r="H34" s="58" t="s">
        <v>483</v>
      </c>
    </row>
    <row r="35" ht="14.4" spans="1:8">
      <c r="A35" s="59" t="str">
        <f t="shared" si="0"/>
        <v>VOCs《家具制造行业挥发性有机化合物排放标准》(DB44/814-2010)</v>
      </c>
      <c r="B35" s="62" t="s">
        <v>357</v>
      </c>
      <c r="C35" s="60" t="s">
        <v>203</v>
      </c>
      <c r="D35" s="60" t="s">
        <v>468</v>
      </c>
      <c r="E35" s="63">
        <v>30</v>
      </c>
      <c r="F35" s="63">
        <v>2.9</v>
      </c>
      <c r="G35" s="64">
        <v>2</v>
      </c>
      <c r="H35" s="58" t="s">
        <v>483</v>
      </c>
    </row>
    <row r="36" ht="14.4" spans="1:8">
      <c r="A36" s="59" t="str">
        <f t="shared" si="0"/>
        <v>VOCs《家具制造行业挥发性有机化合物排放标准》(DB44/814-2010)</v>
      </c>
      <c r="B36" s="62" t="s">
        <v>362</v>
      </c>
      <c r="C36" s="60" t="s">
        <v>203</v>
      </c>
      <c r="D36" s="60" t="s">
        <v>468</v>
      </c>
      <c r="E36" s="63">
        <v>30</v>
      </c>
      <c r="F36" s="63">
        <v>2.9</v>
      </c>
      <c r="G36" s="64">
        <v>2</v>
      </c>
      <c r="H36" s="58" t="s">
        <v>483</v>
      </c>
    </row>
    <row r="37" ht="14.4" spans="1:8">
      <c r="A37" s="59" t="str">
        <f t="shared" si="0"/>
        <v>VOCs《家具制造行业挥发性有机化合物排放标准》(DB44/814-2010)</v>
      </c>
      <c r="B37" s="62" t="s">
        <v>367</v>
      </c>
      <c r="C37" s="60" t="s">
        <v>203</v>
      </c>
      <c r="D37" s="60" t="s">
        <v>468</v>
      </c>
      <c r="E37" s="63">
        <v>30</v>
      </c>
      <c r="F37" s="63">
        <v>2.9</v>
      </c>
      <c r="G37" s="64">
        <v>2</v>
      </c>
      <c r="H37" s="58" t="s">
        <v>483</v>
      </c>
    </row>
    <row r="38" ht="14.4" spans="1:8">
      <c r="A38" s="59" t="str">
        <f t="shared" si="0"/>
        <v>VOCs《家具制造行业挥发性有机化合物排放标准》(DB44/814-2010)</v>
      </c>
      <c r="B38" s="66" t="s">
        <v>372</v>
      </c>
      <c r="C38" s="60" t="s">
        <v>203</v>
      </c>
      <c r="D38" s="60" t="s">
        <v>468</v>
      </c>
      <c r="E38" s="63">
        <v>30</v>
      </c>
      <c r="F38" s="63">
        <v>2.9</v>
      </c>
      <c r="G38" s="64">
        <v>2</v>
      </c>
      <c r="H38" s="58" t="s">
        <v>483</v>
      </c>
    </row>
    <row r="39" ht="14.4" spans="1:8">
      <c r="A39" s="59" t="str">
        <f t="shared" si="0"/>
        <v>颗粒物《合成树脂工业污染物排放标准》(GB31572-2015)</v>
      </c>
      <c r="B39" s="60" t="s">
        <v>484</v>
      </c>
      <c r="C39" s="60" t="s">
        <v>463</v>
      </c>
      <c r="D39" s="60" t="s">
        <v>470</v>
      </c>
      <c r="E39" s="63" t="s">
        <v>465</v>
      </c>
      <c r="F39" s="63" t="s">
        <v>465</v>
      </c>
      <c r="G39" s="64">
        <v>1</v>
      </c>
      <c r="H39" s="58" t="s">
        <v>485</v>
      </c>
    </row>
    <row r="40" ht="14.4" spans="1:8">
      <c r="A40" s="59" t="str">
        <f t="shared" si="0"/>
        <v>臭气浓度《恶臭污染物排放标准》(GB14554-93)</v>
      </c>
      <c r="B40" s="60" t="s">
        <v>390</v>
      </c>
      <c r="C40" s="60" t="s">
        <v>486</v>
      </c>
      <c r="D40" s="60" t="s">
        <v>464</v>
      </c>
      <c r="E40" s="63" t="s">
        <v>465</v>
      </c>
      <c r="F40" s="63" t="s">
        <v>465</v>
      </c>
      <c r="G40" s="64">
        <v>1</v>
      </c>
      <c r="H40" s="58" t="s">
        <v>487</v>
      </c>
    </row>
    <row r="41" ht="14.4" spans="1:8">
      <c r="A41" s="59" t="str">
        <f t="shared" si="0"/>
        <v>非甲烷总烃《合成树脂工业污染物排放标准》(GB31572-2015)</v>
      </c>
      <c r="B41" s="60" t="s">
        <v>389</v>
      </c>
      <c r="C41" s="60" t="s">
        <v>488</v>
      </c>
      <c r="D41" s="60" t="s">
        <v>468</v>
      </c>
      <c r="E41" s="63">
        <v>100</v>
      </c>
      <c r="F41" s="63" t="s">
        <v>465</v>
      </c>
      <c r="G41" s="64">
        <v>4</v>
      </c>
      <c r="H41" s="58" t="s">
        <v>485</v>
      </c>
    </row>
    <row r="42" ht="14.4" spans="1:8">
      <c r="A42" s="59" t="str">
        <f t="shared" si="0"/>
        <v>非甲烷总烃《合成树脂工业污染物排放标准》(GB31572-2015)</v>
      </c>
      <c r="B42" s="60" t="s">
        <v>389</v>
      </c>
      <c r="C42" s="60" t="s">
        <v>488</v>
      </c>
      <c r="D42" s="60" t="s">
        <v>468</v>
      </c>
      <c r="E42" s="63">
        <v>100</v>
      </c>
      <c r="F42" s="63" t="s">
        <v>465</v>
      </c>
      <c r="G42" s="64">
        <v>4</v>
      </c>
      <c r="H42" s="58" t="s">
        <v>485</v>
      </c>
    </row>
    <row r="43" ht="14.4" spans="1:8">
      <c r="A43" s="59" t="str">
        <f t="shared" si="0"/>
        <v>非甲烷总烃《合成树脂工业污染物排放标准》(GB31572-2015)</v>
      </c>
      <c r="B43" s="62" t="s">
        <v>419</v>
      </c>
      <c r="C43" s="60" t="s">
        <v>488</v>
      </c>
      <c r="D43" s="60" t="s">
        <v>468</v>
      </c>
      <c r="E43" s="63">
        <v>100</v>
      </c>
      <c r="F43" s="63" t="s">
        <v>465</v>
      </c>
      <c r="G43" s="64">
        <v>4</v>
      </c>
      <c r="H43" s="58" t="s">
        <v>485</v>
      </c>
    </row>
    <row r="44" ht="14.4" spans="1:8">
      <c r="A44" s="59" t="str">
        <f t="shared" si="0"/>
        <v>非甲烷总烃《合成树脂工业污染物排放标准》(GB31572-2015)</v>
      </c>
      <c r="B44" s="62" t="s">
        <v>422</v>
      </c>
      <c r="C44" s="60" t="s">
        <v>488</v>
      </c>
      <c r="D44" s="60" t="s">
        <v>468</v>
      </c>
      <c r="E44" s="63">
        <v>100</v>
      </c>
      <c r="F44" s="63" t="s">
        <v>465</v>
      </c>
      <c r="G44" s="64">
        <v>4</v>
      </c>
      <c r="H44" s="58" t="s">
        <v>485</v>
      </c>
    </row>
    <row r="45" ht="14.4" spans="1:8">
      <c r="A45" s="59" t="str">
        <f t="shared" si="0"/>
        <v>非甲烷总烃《家具制造行业挥发性有机化合物排放标准》(DB44/814-2010)</v>
      </c>
      <c r="B45" s="66" t="s">
        <v>489</v>
      </c>
      <c r="C45" s="60" t="s">
        <v>488</v>
      </c>
      <c r="D45" s="60" t="s">
        <v>468</v>
      </c>
      <c r="E45" s="63">
        <v>30</v>
      </c>
      <c r="F45" s="63">
        <v>2.9</v>
      </c>
      <c r="G45" s="64">
        <v>2</v>
      </c>
      <c r="H45" s="58" t="s">
        <v>483</v>
      </c>
    </row>
    <row r="46" ht="14.4" spans="1:8">
      <c r="A46" s="59" t="str">
        <f t="shared" si="0"/>
        <v>非甲烷总烃《家具制造行业挥发性有机化合物排放标准》(DB44/814-2010)</v>
      </c>
      <c r="B46" s="66" t="s">
        <v>490</v>
      </c>
      <c r="C46" s="60" t="s">
        <v>488</v>
      </c>
      <c r="D46" s="60" t="s">
        <v>468</v>
      </c>
      <c r="E46" s="63">
        <v>30</v>
      </c>
      <c r="F46" s="63">
        <v>2.9</v>
      </c>
      <c r="G46" s="64">
        <v>2</v>
      </c>
      <c r="H46" s="58" t="s">
        <v>483</v>
      </c>
    </row>
    <row r="47" ht="14.4" spans="1:8">
      <c r="A47" s="59" t="str">
        <f t="shared" si="0"/>
        <v>非甲烷总烃《家具制造行业挥发性有机化合物排放标准》(DB44/814-2010)</v>
      </c>
      <c r="B47" s="66" t="s">
        <v>491</v>
      </c>
      <c r="C47" s="60" t="s">
        <v>488</v>
      </c>
      <c r="D47" s="60" t="s">
        <v>468</v>
      </c>
      <c r="E47" s="63">
        <v>30</v>
      </c>
      <c r="F47" s="63">
        <v>2.9</v>
      </c>
      <c r="G47" s="64">
        <v>2</v>
      </c>
      <c r="H47" s="58" t="s">
        <v>483</v>
      </c>
    </row>
    <row r="48" ht="14.4" spans="1:8">
      <c r="A48" s="59" t="str">
        <f t="shared" si="0"/>
        <v>非甲烷总烃《合成树脂工业污染物排放标准》(GB31572-2015)</v>
      </c>
      <c r="B48" s="67" t="s">
        <v>425</v>
      </c>
      <c r="C48" s="60" t="s">
        <v>488</v>
      </c>
      <c r="D48" s="60" t="s">
        <v>468</v>
      </c>
      <c r="E48" s="63">
        <v>100</v>
      </c>
      <c r="F48" s="63" t="s">
        <v>465</v>
      </c>
      <c r="G48" s="64">
        <v>4</v>
      </c>
      <c r="H48" s="58" t="s">
        <v>485</v>
      </c>
    </row>
    <row r="49" ht="14.4" spans="1:8">
      <c r="A49" s="59" t="str">
        <f t="shared" si="0"/>
        <v>VOCs《家具制造行业挥发性有机化合物排放标准》(DB44/814-2010)</v>
      </c>
      <c r="B49" s="68" t="s">
        <v>435</v>
      </c>
      <c r="C49" s="60" t="s">
        <v>203</v>
      </c>
      <c r="D49" s="60" t="s">
        <v>468</v>
      </c>
      <c r="E49" s="63">
        <v>30</v>
      </c>
      <c r="F49" s="63">
        <v>2.9</v>
      </c>
      <c r="G49" s="64">
        <v>2</v>
      </c>
      <c r="H49" s="58" t="s">
        <v>483</v>
      </c>
    </row>
    <row r="50" ht="14.4" spans="1:8">
      <c r="A50" s="59" t="str">
        <f t="shared" si="0"/>
        <v>VOCs《家具制造行业挥发性有机化合物排放标准》(DB44/814-2010)</v>
      </c>
      <c r="B50" s="62" t="s">
        <v>441</v>
      </c>
      <c r="C50" s="60" t="s">
        <v>203</v>
      </c>
      <c r="D50" s="60" t="s">
        <v>468</v>
      </c>
      <c r="E50" s="63">
        <v>30</v>
      </c>
      <c r="F50" s="63">
        <v>2.9</v>
      </c>
      <c r="G50" s="64">
        <v>2</v>
      </c>
      <c r="H50" s="58" t="s">
        <v>483</v>
      </c>
    </row>
    <row r="51" ht="14.4" spans="1:8">
      <c r="A51" s="59" t="str">
        <f t="shared" si="0"/>
        <v>VOCs《家具制造行业挥发性有机化合物排放标准》(DB44/814-2010)</v>
      </c>
      <c r="B51" s="69" t="s">
        <v>492</v>
      </c>
      <c r="C51" s="60" t="s">
        <v>203</v>
      </c>
      <c r="D51" s="60" t="s">
        <v>468</v>
      </c>
      <c r="E51" s="63">
        <v>30</v>
      </c>
      <c r="F51" s="63">
        <v>2.9</v>
      </c>
      <c r="G51" s="64">
        <v>2</v>
      </c>
      <c r="H51" s="58" t="s">
        <v>483</v>
      </c>
    </row>
    <row r="52" ht="14.4" spans="1:8">
      <c r="A52" s="59" t="str">
        <f t="shared" si="0"/>
        <v>VOCs《家具制造行业挥发性有机化合物排放标准》(DB44/814-2010)</v>
      </c>
      <c r="B52" s="69" t="s">
        <v>493</v>
      </c>
      <c r="C52" s="60" t="s">
        <v>203</v>
      </c>
      <c r="D52" s="60" t="s">
        <v>468</v>
      </c>
      <c r="E52" s="63">
        <v>30</v>
      </c>
      <c r="F52" s="63">
        <v>2.9</v>
      </c>
      <c r="G52" s="64">
        <v>2</v>
      </c>
      <c r="H52" s="58" t="s">
        <v>483</v>
      </c>
    </row>
    <row r="53" ht="14.4" spans="1:8">
      <c r="A53" s="59" t="str">
        <f t="shared" si="0"/>
        <v>甲苯与二甲苯合计《家具制造行业挥发性有机化合物排放标准》(DB44/814-2010)</v>
      </c>
      <c r="B53" s="69" t="s">
        <v>493</v>
      </c>
      <c r="C53" s="60" t="s">
        <v>476</v>
      </c>
      <c r="D53" s="60" t="s">
        <v>468</v>
      </c>
      <c r="E53" s="63">
        <v>20</v>
      </c>
      <c r="F53" s="64">
        <v>1</v>
      </c>
      <c r="G53" s="63" t="s">
        <v>465</v>
      </c>
      <c r="H53" s="58" t="s">
        <v>483</v>
      </c>
    </row>
    <row r="54" ht="14.4" spans="1:8">
      <c r="A54" s="59" t="str">
        <f t="shared" si="0"/>
        <v>甲苯《家具制造行业挥发性有机化合物排放标准》(DB44/814-2010)</v>
      </c>
      <c r="B54" s="69" t="s">
        <v>493</v>
      </c>
      <c r="C54" s="60" t="s">
        <v>477</v>
      </c>
      <c r="D54" s="60" t="s">
        <v>464</v>
      </c>
      <c r="E54" s="63" t="s">
        <v>465</v>
      </c>
      <c r="F54" s="63" t="s">
        <v>465</v>
      </c>
      <c r="G54" s="64">
        <v>0.6</v>
      </c>
      <c r="H54" s="58" t="s">
        <v>483</v>
      </c>
    </row>
    <row r="55" ht="14.4" spans="1:8">
      <c r="A55" s="59" t="str">
        <f t="shared" si="0"/>
        <v>二甲苯《家具制造行业挥发性有机化合物排放标准》(DB44/814-2010)</v>
      </c>
      <c r="B55" s="69" t="s">
        <v>493</v>
      </c>
      <c r="C55" s="60" t="s">
        <v>478</v>
      </c>
      <c r="D55" s="60" t="s">
        <v>464</v>
      </c>
      <c r="E55" s="63" t="s">
        <v>465</v>
      </c>
      <c r="F55" s="63" t="s">
        <v>465</v>
      </c>
      <c r="G55" s="64">
        <v>0.2</v>
      </c>
      <c r="H55" s="58" t="s">
        <v>483</v>
      </c>
    </row>
    <row r="56" ht="14.4" spans="1:8">
      <c r="A56" s="59" t="str">
        <f t="shared" si="0"/>
        <v>VOCs《表面涂装(汽车制造业)挥发性有机化合物排放标准(DB44/816-2010)》</v>
      </c>
      <c r="B56" s="69" t="s">
        <v>494</v>
      </c>
      <c r="C56" s="60" t="s">
        <v>203</v>
      </c>
      <c r="D56" s="60" t="s">
        <v>468</v>
      </c>
      <c r="E56" s="63">
        <v>90</v>
      </c>
      <c r="F56" s="63">
        <v>2.8</v>
      </c>
      <c r="G56" s="64">
        <v>2</v>
      </c>
      <c r="H56" s="58" t="s">
        <v>495</v>
      </c>
    </row>
    <row r="57" ht="14.4" spans="1:8">
      <c r="A57" s="59" t="str">
        <f t="shared" si="0"/>
        <v>VOCs《表面涂装(汽车制造业)挥发性有机化合物排放标准(DB44/816-2010)》</v>
      </c>
      <c r="B57" s="69" t="s">
        <v>496</v>
      </c>
      <c r="C57" s="60" t="s">
        <v>203</v>
      </c>
      <c r="D57" s="60" t="s">
        <v>468</v>
      </c>
      <c r="E57" s="63">
        <v>90</v>
      </c>
      <c r="F57" s="63">
        <v>2.8</v>
      </c>
      <c r="G57" s="64">
        <v>2</v>
      </c>
      <c r="H57" s="58" t="s">
        <v>495</v>
      </c>
    </row>
    <row r="58" ht="14.4" spans="1:8">
      <c r="A58" s="59" t="str">
        <f t="shared" si="0"/>
        <v>甲苯与二甲苯合计《表面涂装(汽车制造业)挥发性有机化合物排放标准(DB44/816-2010)》</v>
      </c>
      <c r="B58" s="69" t="s">
        <v>496</v>
      </c>
      <c r="C58" s="60" t="s">
        <v>476</v>
      </c>
      <c r="D58" s="60" t="s">
        <v>468</v>
      </c>
      <c r="E58" s="63">
        <v>18</v>
      </c>
      <c r="F58" s="63">
        <v>1.4</v>
      </c>
      <c r="G58" s="63" t="s">
        <v>465</v>
      </c>
      <c r="H58" s="58" t="s">
        <v>495</v>
      </c>
    </row>
    <row r="59" ht="14.4" spans="1:8">
      <c r="A59" s="59" t="str">
        <f t="shared" si="0"/>
        <v>甲苯《表面涂装(汽车制造业)挥发性有机化合物排放标准(DB44/816-2010)》</v>
      </c>
      <c r="B59" s="69" t="s">
        <v>496</v>
      </c>
      <c r="C59" s="60" t="s">
        <v>477</v>
      </c>
      <c r="D59" s="60" t="s">
        <v>468</v>
      </c>
      <c r="E59" s="63" t="s">
        <v>465</v>
      </c>
      <c r="F59" s="63" t="s">
        <v>465</v>
      </c>
      <c r="G59" s="64">
        <v>0.6</v>
      </c>
      <c r="H59" s="58" t="s">
        <v>495</v>
      </c>
    </row>
    <row r="60" ht="14.4" spans="1:8">
      <c r="A60" s="59" t="str">
        <f t="shared" si="0"/>
        <v>二甲苯《表面涂装(汽车制造业)挥发性有机化合物排放标准(DB44/816-2010)》</v>
      </c>
      <c r="B60" s="69" t="s">
        <v>496</v>
      </c>
      <c r="C60" s="60" t="s">
        <v>478</v>
      </c>
      <c r="D60" s="60" t="s">
        <v>468</v>
      </c>
      <c r="E60" s="63" t="s">
        <v>465</v>
      </c>
      <c r="F60" s="63" t="s">
        <v>465</v>
      </c>
      <c r="G60" s="64">
        <v>0.2</v>
      </c>
      <c r="H60" s="58" t="s">
        <v>495</v>
      </c>
    </row>
    <row r="61" ht="14.4" spans="1:8">
      <c r="A61" s="59" t="str">
        <f t="shared" si="0"/>
        <v>二氧化硫《锅炉大气污染物排放标准》(GB13271-2014)表2新建锅炉大气污染物排放浓度限值</v>
      </c>
      <c r="B61" s="60" t="s">
        <v>497</v>
      </c>
      <c r="C61" s="60" t="s">
        <v>498</v>
      </c>
      <c r="D61" s="60" t="s">
        <v>468</v>
      </c>
      <c r="E61" s="63">
        <v>50</v>
      </c>
      <c r="F61" s="63" t="s">
        <v>465</v>
      </c>
      <c r="G61" s="63" t="s">
        <v>465</v>
      </c>
      <c r="H61" s="58" t="s">
        <v>499</v>
      </c>
    </row>
    <row r="62" ht="14.4" spans="1:8">
      <c r="A62" s="59" t="str">
        <f t="shared" si="0"/>
        <v>氮氧化物《锅炉大气污染物排放标准》(GB13271-2014)表2新建锅炉大气污染物排放浓度限值</v>
      </c>
      <c r="B62" s="60" t="s">
        <v>497</v>
      </c>
      <c r="C62" s="60" t="s">
        <v>500</v>
      </c>
      <c r="D62" s="60" t="s">
        <v>468</v>
      </c>
      <c r="E62" s="63">
        <v>200</v>
      </c>
      <c r="F62" s="63" t="s">
        <v>465</v>
      </c>
      <c r="G62" s="63" t="s">
        <v>465</v>
      </c>
      <c r="H62" s="58" t="s">
        <v>499</v>
      </c>
    </row>
    <row r="63" ht="14.4" spans="1:8">
      <c r="A63" s="59" t="str">
        <f t="shared" si="0"/>
        <v>颗粒物《锅炉大气污染物排放标准》(GB13271-2014)表2新建锅炉大气污染物排放浓度限值</v>
      </c>
      <c r="B63" s="60" t="s">
        <v>497</v>
      </c>
      <c r="C63" s="60" t="s">
        <v>463</v>
      </c>
      <c r="D63" s="60" t="s">
        <v>468</v>
      </c>
      <c r="E63" s="63">
        <v>20</v>
      </c>
      <c r="F63" s="63" t="s">
        <v>465</v>
      </c>
      <c r="G63" s="63" t="s">
        <v>465</v>
      </c>
      <c r="H63" s="58" t="s">
        <v>499</v>
      </c>
    </row>
    <row r="64" ht="14.4" spans="1:8">
      <c r="A64" s="59" t="str">
        <f t="shared" si="0"/>
        <v>二氧化硫《锅炉大气污染物排放标准》(GB13271-2014)表2新建锅炉大气污染物排放浓度限值</v>
      </c>
      <c r="B64" s="60" t="s">
        <v>501</v>
      </c>
      <c r="C64" s="60" t="s">
        <v>498</v>
      </c>
      <c r="D64" s="60" t="s">
        <v>468</v>
      </c>
      <c r="E64" s="63">
        <v>50</v>
      </c>
      <c r="F64" s="63" t="s">
        <v>465</v>
      </c>
      <c r="G64" s="63" t="s">
        <v>465</v>
      </c>
      <c r="H64" s="58" t="s">
        <v>499</v>
      </c>
    </row>
    <row r="65" ht="14.4" spans="1:8">
      <c r="A65" s="59" t="str">
        <f t="shared" si="0"/>
        <v>氮氧化物《锅炉大气污染物排放标准》(GB13271-2014)表2新建锅炉大气污染物排放浓度限值</v>
      </c>
      <c r="B65" s="60" t="s">
        <v>501</v>
      </c>
      <c r="C65" s="60" t="s">
        <v>500</v>
      </c>
      <c r="D65" s="60" t="s">
        <v>468</v>
      </c>
      <c r="E65" s="63">
        <v>200</v>
      </c>
      <c r="F65" s="63" t="s">
        <v>465</v>
      </c>
      <c r="G65" s="63" t="s">
        <v>465</v>
      </c>
      <c r="H65" s="58" t="s">
        <v>499</v>
      </c>
    </row>
    <row r="66" ht="14.4" spans="1:8">
      <c r="A66" s="59" t="str">
        <f t="shared" si="0"/>
        <v>颗粒物《锅炉大气污染物排放标准》(GB13271-2014)表2新建锅炉大气污染物排放浓度限值</v>
      </c>
      <c r="B66" s="60" t="s">
        <v>501</v>
      </c>
      <c r="C66" s="60" t="s">
        <v>463</v>
      </c>
      <c r="D66" s="60" t="s">
        <v>468</v>
      </c>
      <c r="E66" s="63">
        <v>20</v>
      </c>
      <c r="F66" s="63" t="s">
        <v>465</v>
      </c>
      <c r="G66" s="63" t="s">
        <v>465</v>
      </c>
      <c r="H66" s="58" t="s">
        <v>499</v>
      </c>
    </row>
  </sheetData>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G6"/>
  <sheetViews>
    <sheetView topLeftCell="A2" workbookViewId="0">
      <selection activeCell="E15" sqref="E15"/>
    </sheetView>
  </sheetViews>
  <sheetFormatPr defaultColWidth="9" defaultRowHeight="13.8" outlineLevelRow="5" outlineLevelCol="6"/>
  <cols>
    <col min="1" max="1" width="8.33333333333333" style="58" customWidth="1"/>
    <col min="2" max="16384" width="9" style="59"/>
  </cols>
  <sheetData>
    <row r="1" spans="1:7">
      <c r="A1" s="58" t="s">
        <v>466</v>
      </c>
      <c r="B1" s="58" t="s">
        <v>204</v>
      </c>
      <c r="C1" s="58" t="s">
        <v>483</v>
      </c>
      <c r="D1" s="58" t="s">
        <v>485</v>
      </c>
      <c r="E1" s="58" t="s">
        <v>487</v>
      </c>
      <c r="F1" s="58" t="s">
        <v>495</v>
      </c>
      <c r="G1" s="58" t="s">
        <v>499</v>
      </c>
    </row>
    <row r="2" ht="14.4" spans="1:7">
      <c r="A2" s="60" t="s">
        <v>463</v>
      </c>
      <c r="B2" s="60" t="s">
        <v>203</v>
      </c>
      <c r="C2" s="60" t="s">
        <v>203</v>
      </c>
      <c r="D2" s="60" t="s">
        <v>463</v>
      </c>
      <c r="E2" s="60" t="s">
        <v>486</v>
      </c>
      <c r="F2" s="60" t="s">
        <v>203</v>
      </c>
      <c r="G2" s="60" t="s">
        <v>498</v>
      </c>
    </row>
    <row r="3" ht="14.4" spans="1:7">
      <c r="A3" s="59"/>
      <c r="B3" s="60" t="s">
        <v>477</v>
      </c>
      <c r="C3" s="60" t="s">
        <v>488</v>
      </c>
      <c r="D3" s="60" t="s">
        <v>488</v>
      </c>
      <c r="F3" s="60" t="s">
        <v>476</v>
      </c>
      <c r="G3" s="60" t="s">
        <v>500</v>
      </c>
    </row>
    <row r="4" ht="14.4" spans="1:7">
      <c r="A4" s="59"/>
      <c r="B4" s="60" t="s">
        <v>478</v>
      </c>
      <c r="C4" s="60" t="s">
        <v>476</v>
      </c>
      <c r="F4" s="60" t="s">
        <v>477</v>
      </c>
      <c r="G4" s="60" t="s">
        <v>463</v>
      </c>
    </row>
    <row r="5" ht="14.4" spans="1:7">
      <c r="A5" s="59"/>
      <c r="B5" s="60" t="s">
        <v>476</v>
      </c>
      <c r="C5" s="60" t="s">
        <v>477</v>
      </c>
      <c r="F5" s="60" t="s">
        <v>478</v>
      </c>
      <c r="G5" s="61"/>
    </row>
    <row r="6" ht="14.4" spans="3:3">
      <c r="C6" s="60" t="s">
        <v>478</v>
      </c>
    </row>
  </sheetData>
  <pageMargins left="0.699305555555556" right="0.699305555555556"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D2"/>
  <sheetViews>
    <sheetView zoomScale="143" zoomScaleNormal="143" workbookViewId="0">
      <selection activeCell="E15" sqref="E15"/>
    </sheetView>
  </sheetViews>
  <sheetFormatPr defaultColWidth="8.88888888888889" defaultRowHeight="13.8" outlineLevelRow="1" outlineLevelCol="3"/>
  <cols>
    <col min="1" max="1" width="8.88888888888889" style="50"/>
    <col min="2" max="2" width="21.8888888888889" style="50" customWidth="1"/>
    <col min="3" max="3" width="38.6666666666667" style="50" customWidth="1"/>
    <col min="4" max="4" width="55.1111111111111" style="50" customWidth="1"/>
    <col min="5" max="16384" width="8.88888888888889" style="50"/>
  </cols>
  <sheetData>
    <row r="1" ht="118.8" spans="1:4">
      <c r="A1" s="51" t="s">
        <v>90</v>
      </c>
      <c r="B1" s="52" t="s">
        <v>502</v>
      </c>
      <c r="C1" s="52" t="s">
        <v>503</v>
      </c>
      <c r="D1" s="53" t="str">
        <f>"经三级化粪处理后执行广东省地方标准《水污染物排放限值》（DB44/26-2001）第二时段三级标准：COD 500mg/L、BOD5 300mg/L、SS 400mg/L，等等；达标后排入"&amp;信息!B34&amp;"污水处理厂处理。"&amp;"
根据2013年7月11日颁布的《顺德区环境运输和城市管理局关于全区城镇污水处理厂尾水排放执行标准的通知》规定"&amp;"：污水处理厂的尾水COD、氨氮执行《城镇污水处理厂污染物排放标准》（GB18918-2002）一级B标准及《水污染物排放限值》（DB44/26-2001）第二时段一级标准的较严者，其它指标现执行《城镇污水处理厂污染物排放标准》（GB18918-2002）一级B标准"&amp;"：即CODcr 40mg/L，BOD5 20mg/L，NH3-N 8mg/L，SS 20mg/L，总磷1mg/L，动植物油3mg/L，LAS 1mg/L"</f>
        <v>经三级化粪处理后执行广东省地方标准《水污染物排放限值》（DB44/26-2001）第二时段三级标准：COD 500mg/L、BOD5 300mg/L、SS 400mg/L，等等；达标后排入容桂污水处理厂处理。
根据2013年7月11日颁布的《顺德区环境运输和城市管理局关于全区城镇污水处理厂尾水排放执行标准的通知》规定：污水处理厂的尾水COD、氨氮执行《城镇污水处理厂污染物排放标准》（GB18918-2002）一级B标准及《水污染物排放限值》（DB44/26-2001）第二时段一级标准的较严者，其它指标现执行《城镇污水处理厂污染物排放标准》（GB18918-2002）一级B标准：即CODcr 40mg/L，BOD5 20mg/L，NH3-N 8mg/L，SS 20mg/L，总磷1mg/L，动植物油3mg/L，LAS 1mg/L</v>
      </c>
    </row>
    <row r="2" ht="33.6" spans="1:4">
      <c r="A2" s="54" t="s">
        <v>159</v>
      </c>
      <c r="B2" s="55" t="s">
        <v>504</v>
      </c>
      <c r="C2" s="56" t="s">
        <v>505</v>
      </c>
      <c r="D2" s="57" t="s">
        <v>506</v>
      </c>
    </row>
  </sheetData>
  <dataValidations count="1">
    <dataValidation type="list" allowBlank="1" showInputMessage="1" showErrorMessage="1" sqref="A2">
      <formula1>"是,否"</formula1>
    </dataValidation>
  </dataValidations>
  <pageMargins left="0.699305555555556" right="0.699305555555556" top="0.75" bottom="0.75" header="0.3" footer="0.3"/>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E13"/>
  <sheetViews>
    <sheetView workbookViewId="0">
      <selection activeCell="E15" sqref="E15"/>
    </sheetView>
  </sheetViews>
  <sheetFormatPr defaultColWidth="8.88888888888889" defaultRowHeight="13.8" outlineLevelCol="4"/>
  <cols>
    <col min="1" max="1" width="17.6666666666667" style="16" customWidth="1"/>
    <col min="2" max="5" width="8.88888888888889" style="16"/>
    <col min="6" max="6" width="15.1111111111111" style="16" customWidth="1"/>
    <col min="7" max="16384" width="8.88888888888889" style="16"/>
  </cols>
  <sheetData>
    <row r="1" ht="38.4" spans="1:5">
      <c r="A1" s="43" t="s">
        <v>507</v>
      </c>
      <c r="B1" s="34" t="s">
        <v>508</v>
      </c>
      <c r="C1" s="34" t="s">
        <v>509</v>
      </c>
      <c r="D1" s="34" t="s">
        <v>510</v>
      </c>
      <c r="E1" s="19" t="s">
        <v>511</v>
      </c>
    </row>
    <row r="2" spans="1:5">
      <c r="A2" s="35" t="s">
        <v>512</v>
      </c>
      <c r="B2" s="44" t="s">
        <v>513</v>
      </c>
      <c r="C2" s="44" t="s">
        <v>513</v>
      </c>
      <c r="D2" s="44" t="s">
        <v>513</v>
      </c>
      <c r="E2" s="19"/>
    </row>
    <row r="3" spans="1:5">
      <c r="A3" s="35" t="s">
        <v>514</v>
      </c>
      <c r="B3" s="35">
        <v>15</v>
      </c>
      <c r="C3" s="35">
        <v>20</v>
      </c>
      <c r="D3" s="35">
        <v>30</v>
      </c>
      <c r="E3" s="45"/>
    </row>
    <row r="4" ht="16.8" spans="1:5">
      <c r="A4" s="35" t="s">
        <v>515</v>
      </c>
      <c r="B4" s="35">
        <v>3</v>
      </c>
      <c r="C4" s="35">
        <v>4</v>
      </c>
      <c r="D4" s="35">
        <v>6</v>
      </c>
      <c r="E4" s="46"/>
    </row>
    <row r="5" ht="16.8" spans="1:5">
      <c r="A5" s="35" t="s">
        <v>516</v>
      </c>
      <c r="B5" s="35">
        <v>0.5</v>
      </c>
      <c r="C5" s="35">
        <v>1</v>
      </c>
      <c r="D5" s="35">
        <v>1.5</v>
      </c>
      <c r="E5" s="46"/>
    </row>
    <row r="6" spans="1:4">
      <c r="A6" s="47" t="s">
        <v>517</v>
      </c>
      <c r="B6" s="48">
        <v>6</v>
      </c>
      <c r="C6" s="48">
        <v>5</v>
      </c>
      <c r="D6" s="47">
        <v>3</v>
      </c>
    </row>
    <row r="7" spans="1:5">
      <c r="A7" s="48" t="s">
        <v>518</v>
      </c>
      <c r="B7" s="47">
        <v>0.2</v>
      </c>
      <c r="C7" s="48">
        <v>0.2</v>
      </c>
      <c r="D7" s="47">
        <v>0.3</v>
      </c>
      <c r="E7" s="46"/>
    </row>
    <row r="8" spans="1:4">
      <c r="A8" s="47" t="s">
        <v>519</v>
      </c>
      <c r="B8" s="48">
        <v>2000</v>
      </c>
      <c r="C8" s="48">
        <v>10000</v>
      </c>
      <c r="D8" s="47">
        <v>20000</v>
      </c>
    </row>
    <row r="9" spans="1:3">
      <c r="A9" s="49"/>
      <c r="B9" s="34"/>
      <c r="C9" s="35"/>
    </row>
    <row r="10" spans="1:3">
      <c r="A10" s="43"/>
      <c r="C10" s="35"/>
    </row>
    <row r="11" spans="2:3">
      <c r="B11" s="46"/>
      <c r="C11" s="35"/>
    </row>
    <row r="12" spans="2:3">
      <c r="B12" s="46"/>
      <c r="C12" s="35"/>
    </row>
    <row r="13" spans="2:3">
      <c r="B13" s="46"/>
      <c r="C13" s="35"/>
    </row>
  </sheetData>
  <pageMargins left="0.699305555555556" right="0.699305555555556" top="0.75" bottom="0.75" header="0.3" footer="0.3"/>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G12"/>
  <sheetViews>
    <sheetView workbookViewId="0">
      <selection activeCell="D18" sqref="D18"/>
    </sheetView>
  </sheetViews>
  <sheetFormatPr defaultColWidth="9" defaultRowHeight="13.8" outlineLevelCol="6"/>
  <cols>
    <col min="1" max="1" width="11" customWidth="1"/>
    <col min="2" max="2" width="15.1111111111111" customWidth="1"/>
    <col min="3" max="3" width="10" customWidth="1"/>
    <col min="4" max="4" width="19.2222222222222" customWidth="1"/>
    <col min="5" max="5" width="11" customWidth="1"/>
    <col min="6" max="6" width="15.1111111111111" customWidth="1"/>
    <col min="7" max="7" width="16" customWidth="1"/>
  </cols>
  <sheetData>
    <row r="1" spans="1:7">
      <c r="A1" s="12" t="s">
        <v>457</v>
      </c>
      <c r="B1" s="12" t="s">
        <v>520</v>
      </c>
      <c r="C1" s="12" t="s">
        <v>76</v>
      </c>
      <c r="D1" s="41" t="s">
        <v>85</v>
      </c>
      <c r="E1" s="12" t="s">
        <v>521</v>
      </c>
      <c r="F1" s="12" t="s">
        <v>522</v>
      </c>
      <c r="G1" s="12" t="s">
        <v>95</v>
      </c>
    </row>
    <row r="2" spans="1:7">
      <c r="A2" s="12" t="str">
        <f>B2&amp;C2&amp;D2</f>
        <v>是北滘无</v>
      </c>
      <c r="B2" s="12" t="s">
        <v>90</v>
      </c>
      <c r="C2" s="12" t="s">
        <v>403</v>
      </c>
      <c r="D2" s="41" t="s">
        <v>220</v>
      </c>
      <c r="E2" s="12" t="s">
        <v>523</v>
      </c>
      <c r="F2" s="34" t="s">
        <v>509</v>
      </c>
      <c r="G2" s="12" t="s">
        <v>524</v>
      </c>
    </row>
    <row r="3" spans="1:7">
      <c r="A3" s="41" t="str">
        <f t="shared" ref="A3:A12" si="0">B3&amp;C3&amp;D3</f>
        <v>是大良大门</v>
      </c>
      <c r="B3" s="41" t="s">
        <v>90</v>
      </c>
      <c r="C3" s="41" t="s">
        <v>405</v>
      </c>
      <c r="D3" s="41" t="s">
        <v>525</v>
      </c>
      <c r="E3" s="41" t="s">
        <v>526</v>
      </c>
      <c r="F3" s="42" t="s">
        <v>509</v>
      </c>
      <c r="G3" s="41" t="s">
        <v>524</v>
      </c>
    </row>
    <row r="4" spans="1:7">
      <c r="A4" s="41" t="str">
        <f t="shared" si="0"/>
        <v>是大良逢沙</v>
      </c>
      <c r="B4" s="41" t="s">
        <v>90</v>
      </c>
      <c r="C4" s="41" t="s">
        <v>405</v>
      </c>
      <c r="D4" s="41" t="s">
        <v>527</v>
      </c>
      <c r="E4" s="41" t="s">
        <v>528</v>
      </c>
      <c r="F4" s="42" t="s">
        <v>509</v>
      </c>
      <c r="G4" s="41" t="s">
        <v>524</v>
      </c>
    </row>
    <row r="5" spans="1:7">
      <c r="A5" s="12" t="str">
        <f t="shared" si="0"/>
        <v>是均安无</v>
      </c>
      <c r="B5" s="12" t="s">
        <v>90</v>
      </c>
      <c r="C5" s="12" t="s">
        <v>391</v>
      </c>
      <c r="D5" s="41" t="s">
        <v>220</v>
      </c>
      <c r="E5" s="12" t="s">
        <v>529</v>
      </c>
      <c r="F5" s="34" t="s">
        <v>509</v>
      </c>
      <c r="G5" s="12" t="s">
        <v>524</v>
      </c>
    </row>
    <row r="6" spans="1:7">
      <c r="A6" s="12" t="str">
        <f t="shared" si="0"/>
        <v>是乐从无</v>
      </c>
      <c r="B6" s="12" t="s">
        <v>90</v>
      </c>
      <c r="C6" s="12" t="s">
        <v>400</v>
      </c>
      <c r="D6" s="41" t="s">
        <v>220</v>
      </c>
      <c r="E6" s="12" t="s">
        <v>530</v>
      </c>
      <c r="F6" s="34" t="s">
        <v>510</v>
      </c>
      <c r="G6" s="12" t="s">
        <v>531</v>
      </c>
    </row>
    <row r="7" spans="1:7">
      <c r="A7" s="12" t="str">
        <f t="shared" si="0"/>
        <v>是勒流无</v>
      </c>
      <c r="B7" s="12" t="s">
        <v>90</v>
      </c>
      <c r="C7" s="12" t="s">
        <v>404</v>
      </c>
      <c r="D7" s="41" t="s">
        <v>220</v>
      </c>
      <c r="E7" s="12" t="s">
        <v>526</v>
      </c>
      <c r="F7" s="34" t="s">
        <v>509</v>
      </c>
      <c r="G7" s="12" t="s">
        <v>524</v>
      </c>
    </row>
    <row r="8" spans="1:7">
      <c r="A8" s="12" t="str">
        <f t="shared" si="0"/>
        <v>是龙江无</v>
      </c>
      <c r="B8" s="12" t="s">
        <v>90</v>
      </c>
      <c r="C8" s="12" t="s">
        <v>407</v>
      </c>
      <c r="D8" s="41" t="s">
        <v>220</v>
      </c>
      <c r="E8" s="12" t="s">
        <v>530</v>
      </c>
      <c r="F8" s="34" t="s">
        <v>510</v>
      </c>
      <c r="G8" s="12" t="s">
        <v>531</v>
      </c>
    </row>
    <row r="9" spans="1:7">
      <c r="A9" s="12" t="str">
        <f t="shared" si="0"/>
        <v>是伦教无</v>
      </c>
      <c r="B9" s="12" t="s">
        <v>90</v>
      </c>
      <c r="C9" s="12" t="s">
        <v>402</v>
      </c>
      <c r="D9" s="41" t="s">
        <v>220</v>
      </c>
      <c r="E9" s="12" t="s">
        <v>528</v>
      </c>
      <c r="F9" s="34" t="s">
        <v>509</v>
      </c>
      <c r="G9" s="12" t="s">
        <v>524</v>
      </c>
    </row>
    <row r="10" spans="1:7">
      <c r="A10" s="41" t="str">
        <f t="shared" si="0"/>
        <v>是容桂一污</v>
      </c>
      <c r="B10" s="41" t="s">
        <v>90</v>
      </c>
      <c r="C10" s="41" t="s">
        <v>77</v>
      </c>
      <c r="D10" s="41" t="s">
        <v>86</v>
      </c>
      <c r="E10" s="41" t="s">
        <v>532</v>
      </c>
      <c r="F10" s="42" t="s">
        <v>509</v>
      </c>
      <c r="G10" s="41" t="s">
        <v>524</v>
      </c>
    </row>
    <row r="11" spans="1:7">
      <c r="A11" s="41" t="str">
        <f t="shared" si="0"/>
        <v>是容桂二污</v>
      </c>
      <c r="B11" s="41" t="s">
        <v>90</v>
      </c>
      <c r="C11" s="41" t="s">
        <v>77</v>
      </c>
      <c r="D11" s="41" t="s">
        <v>533</v>
      </c>
      <c r="E11" s="41" t="s">
        <v>534</v>
      </c>
      <c r="F11" s="42" t="s">
        <v>509</v>
      </c>
      <c r="G11" s="41" t="s">
        <v>524</v>
      </c>
    </row>
    <row r="12" spans="1:7">
      <c r="A12" s="12" t="str">
        <f t="shared" si="0"/>
        <v>是杏坛无</v>
      </c>
      <c r="B12" s="12" t="s">
        <v>90</v>
      </c>
      <c r="C12" s="12" t="s">
        <v>395</v>
      </c>
      <c r="D12" s="41" t="s">
        <v>220</v>
      </c>
      <c r="E12" s="12" t="s">
        <v>526</v>
      </c>
      <c r="F12" s="34" t="s">
        <v>509</v>
      </c>
      <c r="G12" s="12" t="s">
        <v>524</v>
      </c>
    </row>
  </sheetData>
  <pageMargins left="0.699305555555556" right="0.699305555555556" top="0.75" bottom="0.75" header="0.3" footer="0.3"/>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A1:B22"/>
  <sheetViews>
    <sheetView workbookViewId="0">
      <selection activeCell="L19" sqref="L19"/>
    </sheetView>
  </sheetViews>
  <sheetFormatPr defaultColWidth="9" defaultRowHeight="13.8" outlineLevelCol="1"/>
  <cols>
    <col min="1" max="1" width="21.3333333333333" style="39" customWidth="1"/>
    <col min="2" max="16384" width="8.88888888888889" style="39"/>
  </cols>
  <sheetData>
    <row r="1" spans="1:2">
      <c r="A1" s="39" t="s">
        <v>535</v>
      </c>
      <c r="B1" s="39" t="s">
        <v>536</v>
      </c>
    </row>
    <row r="2" spans="1:2">
      <c r="A2" s="39" t="s">
        <v>537</v>
      </c>
      <c r="B2" s="39" t="s">
        <v>538</v>
      </c>
    </row>
    <row r="3" spans="1:2">
      <c r="A3" s="39" t="s">
        <v>539</v>
      </c>
      <c r="B3" s="39" t="s">
        <v>540</v>
      </c>
    </row>
    <row r="4" ht="14.4" spans="1:2">
      <c r="A4" s="39" t="s">
        <v>541</v>
      </c>
      <c r="B4" s="40" t="s">
        <v>542</v>
      </c>
    </row>
    <row r="5" spans="1:2">
      <c r="A5" s="39" t="s">
        <v>543</v>
      </c>
      <c r="B5" s="39" t="s">
        <v>544</v>
      </c>
    </row>
    <row r="6" ht="15.6" spans="1:2">
      <c r="A6" s="39" t="s">
        <v>545</v>
      </c>
      <c r="B6" s="39" t="s">
        <v>546</v>
      </c>
    </row>
    <row r="7" spans="1:2">
      <c r="A7" s="39" t="s">
        <v>547</v>
      </c>
      <c r="B7" s="39" t="s">
        <v>548</v>
      </c>
    </row>
    <row r="8" spans="1:2">
      <c r="A8" s="39" t="s">
        <v>549</v>
      </c>
      <c r="B8" s="39" t="s">
        <v>550</v>
      </c>
    </row>
    <row r="9" spans="1:2">
      <c r="A9" s="39" t="s">
        <v>551</v>
      </c>
      <c r="B9" s="39" t="s">
        <v>552</v>
      </c>
    </row>
    <row r="10" spans="1:2">
      <c r="A10" s="39" t="s">
        <v>553</v>
      </c>
      <c r="B10" s="39" t="s">
        <v>554</v>
      </c>
    </row>
    <row r="11" spans="1:2">
      <c r="A11" s="39" t="s">
        <v>555</v>
      </c>
      <c r="B11" s="39" t="s">
        <v>556</v>
      </c>
    </row>
    <row r="12" spans="1:2">
      <c r="A12" s="39" t="s">
        <v>557</v>
      </c>
      <c r="B12" s="39" t="s">
        <v>558</v>
      </c>
    </row>
    <row r="13" spans="1:2">
      <c r="A13" s="39" t="s">
        <v>559</v>
      </c>
      <c r="B13" s="39" t="s">
        <v>560</v>
      </c>
    </row>
    <row r="14" spans="1:2">
      <c r="A14" s="39" t="s">
        <v>561</v>
      </c>
      <c r="B14" s="39" t="s">
        <v>562</v>
      </c>
    </row>
    <row r="15" spans="1:2">
      <c r="A15" s="39" t="s">
        <v>563</v>
      </c>
      <c r="B15" s="39" t="s">
        <v>564</v>
      </c>
    </row>
    <row r="16" spans="1:2">
      <c r="A16" s="39" t="s">
        <v>565</v>
      </c>
      <c r="B16" s="39" t="s">
        <v>566</v>
      </c>
    </row>
    <row r="17" spans="1:2">
      <c r="A17" s="39" t="s">
        <v>567</v>
      </c>
      <c r="B17" s="39" t="s">
        <v>568</v>
      </c>
    </row>
    <row r="18" spans="1:2">
      <c r="A18" s="39" t="s">
        <v>569</v>
      </c>
      <c r="B18" s="39" t="s">
        <v>570</v>
      </c>
    </row>
    <row r="19" spans="1:2">
      <c r="A19" s="39" t="s">
        <v>571</v>
      </c>
      <c r="B19" s="39" t="s">
        <v>572</v>
      </c>
    </row>
    <row r="20" spans="1:2">
      <c r="A20" s="39" t="s">
        <v>573</v>
      </c>
      <c r="B20" s="39" t="s">
        <v>574</v>
      </c>
    </row>
    <row r="21" spans="1:2">
      <c r="A21" s="39" t="s">
        <v>575</v>
      </c>
      <c r="B21" s="39" t="s">
        <v>576</v>
      </c>
    </row>
    <row r="22" spans="1:2">
      <c r="A22" s="39" t="s">
        <v>577</v>
      </c>
      <c r="B22" s="39" t="s">
        <v>578</v>
      </c>
    </row>
  </sheetData>
  <pageMargins left="0.699305555555556" right="0.699305555555556" top="0.75" bottom="0.75" header="0.3" footer="0.3"/>
  <pageSetup paperSize="9" orientation="portrait"/>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I4"/>
  <sheetViews>
    <sheetView workbookViewId="0">
      <selection activeCell="I9" sqref="I9"/>
    </sheetView>
  </sheetViews>
  <sheetFormatPr defaultColWidth="9" defaultRowHeight="13.8" outlineLevelRow="3"/>
  <sheetData>
    <row r="1" spans="1:9">
      <c r="A1" t="s">
        <v>403</v>
      </c>
      <c r="B1" t="s">
        <v>405</v>
      </c>
      <c r="C1" t="s">
        <v>391</v>
      </c>
      <c r="D1" t="s">
        <v>400</v>
      </c>
      <c r="E1" t="s">
        <v>404</v>
      </c>
      <c r="F1" t="s">
        <v>407</v>
      </c>
      <c r="G1" t="s">
        <v>402</v>
      </c>
      <c r="H1" t="s">
        <v>77</v>
      </c>
      <c r="I1" t="s">
        <v>395</v>
      </c>
    </row>
    <row r="2" spans="1:9">
      <c r="A2" t="s">
        <v>220</v>
      </c>
      <c r="B2" t="s">
        <v>527</v>
      </c>
      <c r="C2" t="s">
        <v>220</v>
      </c>
      <c r="D2" t="s">
        <v>220</v>
      </c>
      <c r="E2" t="s">
        <v>220</v>
      </c>
      <c r="F2" t="s">
        <v>220</v>
      </c>
      <c r="G2" t="s">
        <v>220</v>
      </c>
      <c r="H2" t="s">
        <v>86</v>
      </c>
      <c r="I2" t="s">
        <v>220</v>
      </c>
    </row>
    <row r="3" spans="2:8">
      <c r="B3" t="s">
        <v>525</v>
      </c>
      <c r="H3" t="s">
        <v>533</v>
      </c>
    </row>
    <row r="4" spans="2:8">
      <c r="B4" t="s">
        <v>220</v>
      </c>
      <c r="H4" t="s">
        <v>220</v>
      </c>
    </row>
  </sheetData>
  <pageMargins left="0.699305555555556" right="0.699305555555556" top="0.75" bottom="0.75" header="0.3" footer="0.3"/>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H16"/>
  <sheetViews>
    <sheetView workbookViewId="0">
      <selection activeCell="E15" sqref="E15"/>
    </sheetView>
  </sheetViews>
  <sheetFormatPr defaultColWidth="8.88888888888889" defaultRowHeight="13.8" outlineLevelCol="7"/>
  <cols>
    <col min="1" max="16384" width="8.88888888888889" style="16"/>
  </cols>
  <sheetData>
    <row r="1" ht="74.4" spans="1:8">
      <c r="A1" s="33" t="s">
        <v>579</v>
      </c>
      <c r="B1" s="34" t="s">
        <v>580</v>
      </c>
      <c r="C1" s="34" t="s">
        <v>508</v>
      </c>
      <c r="D1" s="34" t="s">
        <v>509</v>
      </c>
      <c r="E1" s="34" t="s">
        <v>510</v>
      </c>
      <c r="F1" s="34" t="s">
        <v>581</v>
      </c>
      <c r="G1" s="19" t="s">
        <v>511</v>
      </c>
      <c r="H1" s="22"/>
    </row>
    <row r="2" spans="1:6">
      <c r="A2" s="35" t="s">
        <v>512</v>
      </c>
      <c r="B2" s="35" t="s">
        <v>582</v>
      </c>
      <c r="C2" s="35" t="s">
        <v>582</v>
      </c>
      <c r="D2" s="35" t="s">
        <v>582</v>
      </c>
      <c r="E2" s="35" t="s">
        <v>583</v>
      </c>
      <c r="F2" s="35" t="s">
        <v>584</v>
      </c>
    </row>
    <row r="3" ht="24" spans="1:6">
      <c r="A3" s="36" t="s">
        <v>585</v>
      </c>
      <c r="B3" s="37" t="s">
        <v>586</v>
      </c>
      <c r="C3" s="35" t="s">
        <v>587</v>
      </c>
      <c r="D3" s="35" t="s">
        <v>588</v>
      </c>
      <c r="E3" s="35" t="s">
        <v>589</v>
      </c>
      <c r="F3" s="35" t="s">
        <v>590</v>
      </c>
    </row>
    <row r="4" ht="24" spans="1:6">
      <c r="A4" s="36" t="s">
        <v>591</v>
      </c>
      <c r="B4" s="35" t="s">
        <v>587</v>
      </c>
      <c r="C4" s="35" t="s">
        <v>592</v>
      </c>
      <c r="D4" s="35" t="s">
        <v>593</v>
      </c>
      <c r="E4" s="35" t="s">
        <v>594</v>
      </c>
      <c r="F4" s="35" t="s">
        <v>595</v>
      </c>
    </row>
    <row r="5" spans="1:4">
      <c r="A5" s="33"/>
      <c r="B5" s="33"/>
      <c r="D5" s="35"/>
    </row>
    <row r="6" spans="1:4">
      <c r="A6" s="33"/>
      <c r="B6" s="33"/>
      <c r="C6" s="38"/>
      <c r="D6" s="36"/>
    </row>
    <row r="7" spans="1:4">
      <c r="A7" s="33"/>
      <c r="B7" s="33"/>
      <c r="C7" s="38"/>
      <c r="D7" s="36"/>
    </row>
    <row r="8" spans="1:4">
      <c r="A8" s="33"/>
      <c r="B8" s="33"/>
      <c r="D8" s="35"/>
    </row>
    <row r="9" spans="1:4">
      <c r="A9" s="33"/>
      <c r="B9" s="33"/>
      <c r="C9" s="38"/>
      <c r="D9" s="36"/>
    </row>
    <row r="10" spans="1:4">
      <c r="A10" s="33"/>
      <c r="B10" s="33"/>
      <c r="C10" s="38"/>
      <c r="D10" s="36"/>
    </row>
    <row r="11" spans="1:4">
      <c r="A11" s="33"/>
      <c r="B11" s="33"/>
      <c r="D11" s="35"/>
    </row>
    <row r="12" spans="1:4">
      <c r="A12" s="33"/>
      <c r="B12" s="33"/>
      <c r="C12" s="38"/>
      <c r="D12" s="36"/>
    </row>
    <row r="13" spans="1:4">
      <c r="A13" s="33"/>
      <c r="B13" s="33"/>
      <c r="C13" s="38"/>
      <c r="D13" s="36"/>
    </row>
    <row r="14" spans="1:4">
      <c r="A14" s="33"/>
      <c r="B14" s="33"/>
      <c r="D14" s="35"/>
    </row>
    <row r="15" spans="1:4">
      <c r="A15" s="33"/>
      <c r="B15" s="33"/>
      <c r="C15" s="38"/>
      <c r="D15" s="36"/>
    </row>
    <row r="16" spans="1:4">
      <c r="A16" s="33"/>
      <c r="B16" s="33"/>
      <c r="C16" s="38"/>
      <c r="D16" s="36"/>
    </row>
  </sheetData>
  <pageMargins left="0.699305555555556" right="0.699305555555556" top="0.75" bottom="0.75" header="0.3" footer="0.3"/>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F11"/>
  <sheetViews>
    <sheetView workbookViewId="0">
      <selection activeCell="E15" sqref="E15"/>
    </sheetView>
  </sheetViews>
  <sheetFormatPr defaultColWidth="9" defaultRowHeight="13.8" outlineLevelCol="5"/>
  <cols>
    <col min="2" max="2" width="40" customWidth="1"/>
    <col min="3" max="3" width="19.6666666666667" customWidth="1"/>
    <col min="5" max="5" width="13.1111111111111" customWidth="1"/>
  </cols>
  <sheetData>
    <row r="1" ht="27.9" spans="1:6">
      <c r="A1" s="23" t="s">
        <v>596</v>
      </c>
      <c r="B1" s="24" t="s">
        <v>597</v>
      </c>
      <c r="C1" s="24" t="s">
        <v>598</v>
      </c>
      <c r="D1" s="25" t="s">
        <v>509</v>
      </c>
      <c r="E1" s="24" t="s">
        <v>599</v>
      </c>
      <c r="F1" s="26" t="s">
        <v>600</v>
      </c>
    </row>
    <row r="2" ht="27.15" spans="1:6">
      <c r="A2" s="27" t="s">
        <v>596</v>
      </c>
      <c r="B2" s="28" t="s">
        <v>601</v>
      </c>
      <c r="C2" s="28" t="s">
        <v>598</v>
      </c>
      <c r="D2" s="29" t="s">
        <v>509</v>
      </c>
      <c r="E2" s="28" t="s">
        <v>602</v>
      </c>
      <c r="F2" s="30" t="s">
        <v>603</v>
      </c>
    </row>
    <row r="3" ht="27.9" spans="1:5">
      <c r="A3" s="27" t="s">
        <v>596</v>
      </c>
      <c r="B3" s="31" t="s">
        <v>604</v>
      </c>
      <c r="C3" s="31" t="s">
        <v>605</v>
      </c>
      <c r="D3" s="32" t="s">
        <v>509</v>
      </c>
      <c r="E3" s="24" t="s">
        <v>606</v>
      </c>
    </row>
    <row r="4" ht="27.15" spans="1:5">
      <c r="A4" s="27" t="s">
        <v>596</v>
      </c>
      <c r="B4" s="28" t="s">
        <v>607</v>
      </c>
      <c r="C4" s="28" t="s">
        <v>605</v>
      </c>
      <c r="D4" s="29" t="s">
        <v>509</v>
      </c>
      <c r="E4" s="28" t="s">
        <v>608</v>
      </c>
    </row>
    <row r="5" ht="27.9" spans="1:5">
      <c r="A5" s="27" t="s">
        <v>596</v>
      </c>
      <c r="B5" s="31" t="s">
        <v>609</v>
      </c>
      <c r="C5" s="31" t="s">
        <v>605</v>
      </c>
      <c r="D5" s="32" t="s">
        <v>509</v>
      </c>
      <c r="E5" s="24" t="s">
        <v>610</v>
      </c>
    </row>
    <row r="6" ht="27.15" spans="1:5">
      <c r="A6" s="27" t="s">
        <v>596</v>
      </c>
      <c r="B6" s="28" t="s">
        <v>611</v>
      </c>
      <c r="C6" s="28" t="s">
        <v>605</v>
      </c>
      <c r="D6" s="29" t="s">
        <v>509</v>
      </c>
      <c r="E6" s="28" t="s">
        <v>612</v>
      </c>
    </row>
    <row r="7" ht="27.9" spans="1:6">
      <c r="A7" s="27" t="s">
        <v>596</v>
      </c>
      <c r="B7" s="31" t="s">
        <v>613</v>
      </c>
      <c r="C7" s="31" t="s">
        <v>598</v>
      </c>
      <c r="D7" s="32" t="s">
        <v>581</v>
      </c>
      <c r="E7" s="24" t="s">
        <v>614</v>
      </c>
      <c r="F7" s="30" t="s">
        <v>615</v>
      </c>
    </row>
    <row r="8" ht="27.15" spans="1:5">
      <c r="A8" s="27" t="s">
        <v>596</v>
      </c>
      <c r="B8" s="28" t="s">
        <v>616</v>
      </c>
      <c r="C8" s="28" t="s">
        <v>598</v>
      </c>
      <c r="D8" s="29" t="s">
        <v>581</v>
      </c>
      <c r="E8" s="28" t="s">
        <v>617</v>
      </c>
    </row>
    <row r="9" ht="27.9" spans="1:5">
      <c r="A9" s="27" t="s">
        <v>596</v>
      </c>
      <c r="B9" s="31" t="s">
        <v>618</v>
      </c>
      <c r="C9" s="31" t="s">
        <v>619</v>
      </c>
      <c r="D9" s="32" t="s">
        <v>509</v>
      </c>
      <c r="E9" s="24" t="s">
        <v>620</v>
      </c>
    </row>
    <row r="10" ht="27.15" spans="1:5">
      <c r="A10" s="27" t="s">
        <v>596</v>
      </c>
      <c r="B10" s="28" t="s">
        <v>621</v>
      </c>
      <c r="C10" s="28" t="s">
        <v>619</v>
      </c>
      <c r="D10" s="29" t="s">
        <v>509</v>
      </c>
      <c r="E10" s="28" t="s">
        <v>622</v>
      </c>
    </row>
    <row r="11" ht="27.9" spans="1:5">
      <c r="A11" s="27" t="s">
        <v>596</v>
      </c>
      <c r="B11" s="31" t="s">
        <v>81</v>
      </c>
      <c r="C11" s="31" t="s">
        <v>619</v>
      </c>
      <c r="D11" s="32" t="s">
        <v>509</v>
      </c>
      <c r="E11" s="24" t="s">
        <v>623</v>
      </c>
    </row>
  </sheetData>
  <pageMargins left="0.699305555555556" right="0.699305555555556" top="0.75" bottom="0.75" header="0.3" footer="0.3"/>
  <pageSetup paperSize="9" orientation="portrait"/>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I7"/>
  <sheetViews>
    <sheetView workbookViewId="0">
      <selection activeCell="E15" sqref="E15"/>
    </sheetView>
  </sheetViews>
  <sheetFormatPr defaultColWidth="8.88888888888889" defaultRowHeight="13.8" outlineLevelRow="6"/>
  <cols>
    <col min="1" max="1" width="17.4444444444444" style="16" customWidth="1"/>
    <col min="2" max="16384" width="8.88888888888889" style="16"/>
  </cols>
  <sheetData>
    <row r="1" ht="28.8" spans="1:9">
      <c r="A1" s="17" t="s">
        <v>624</v>
      </c>
      <c r="B1" s="18" t="s">
        <v>625</v>
      </c>
      <c r="C1" s="18" t="s">
        <v>626</v>
      </c>
      <c r="D1" s="18" t="s">
        <v>79</v>
      </c>
      <c r="E1" s="18" t="s">
        <v>627</v>
      </c>
      <c r="F1" s="18" t="s">
        <v>628</v>
      </c>
      <c r="G1" s="18" t="s">
        <v>629</v>
      </c>
      <c r="H1" s="19" t="s">
        <v>630</v>
      </c>
      <c r="I1" s="22"/>
    </row>
    <row r="2" ht="14.4" spans="1:8">
      <c r="A2" s="17" t="s">
        <v>631</v>
      </c>
      <c r="B2" s="20">
        <v>50</v>
      </c>
      <c r="C2" s="20">
        <v>55</v>
      </c>
      <c r="D2" s="20">
        <v>60</v>
      </c>
      <c r="E2" s="20">
        <v>65</v>
      </c>
      <c r="F2" s="20">
        <v>70</v>
      </c>
      <c r="G2" s="20">
        <v>70</v>
      </c>
      <c r="H2" s="21"/>
    </row>
    <row r="3" ht="14.4" spans="1:8">
      <c r="A3" s="17" t="s">
        <v>632</v>
      </c>
      <c r="B3" s="20">
        <v>40</v>
      </c>
      <c r="C3" s="20">
        <v>45</v>
      </c>
      <c r="D3" s="20">
        <v>50</v>
      </c>
      <c r="E3" s="20">
        <v>55</v>
      </c>
      <c r="F3" s="20">
        <v>55</v>
      </c>
      <c r="G3" s="20">
        <v>60</v>
      </c>
      <c r="H3" s="21"/>
    </row>
    <row r="4" ht="14.4" spans="5:8">
      <c r="E4" s="17"/>
      <c r="H4" s="21"/>
    </row>
    <row r="5" ht="14.4" spans="5:8">
      <c r="E5" s="17"/>
      <c r="H5" s="21"/>
    </row>
    <row r="6" ht="14.4" spans="5:8">
      <c r="E6" s="17"/>
      <c r="H6" s="21"/>
    </row>
    <row r="7" spans="8:8">
      <c r="H7" s="21"/>
    </row>
  </sheetData>
  <pageMargins left="0.699305555555556" right="0.699305555555556" top="0.75" bottom="0.75" header="0.3" footer="0.3"/>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B11"/>
  <sheetViews>
    <sheetView workbookViewId="0">
      <selection activeCell="B7" sqref="B7"/>
    </sheetView>
  </sheetViews>
  <sheetFormatPr defaultColWidth="9" defaultRowHeight="13.8" outlineLevelCol="1"/>
  <sheetData>
    <row r="1" ht="14.4" spans="1:2">
      <c r="A1" s="13" t="s">
        <v>400</v>
      </c>
      <c r="B1" s="13" t="s">
        <v>633</v>
      </c>
    </row>
    <row r="2" ht="14.4" spans="1:2">
      <c r="A2" s="13" t="s">
        <v>402</v>
      </c>
      <c r="B2" s="13" t="s">
        <v>634</v>
      </c>
    </row>
    <row r="3" ht="14.4" spans="1:2">
      <c r="A3" s="13" t="s">
        <v>403</v>
      </c>
      <c r="B3" s="13" t="s">
        <v>635</v>
      </c>
    </row>
    <row r="4" ht="14.4" spans="1:2">
      <c r="A4" s="13" t="s">
        <v>404</v>
      </c>
      <c r="B4" s="13" t="s">
        <v>636</v>
      </c>
    </row>
    <row r="5" ht="14.4" spans="1:2">
      <c r="A5" s="13" t="s">
        <v>405</v>
      </c>
      <c r="B5" s="13" t="s">
        <v>637</v>
      </c>
    </row>
    <row r="6" ht="14.4" spans="1:2">
      <c r="A6" s="13" t="s">
        <v>395</v>
      </c>
      <c r="B6" s="13" t="s">
        <v>638</v>
      </c>
    </row>
    <row r="7" ht="14.4" spans="1:2">
      <c r="A7" s="13" t="s">
        <v>77</v>
      </c>
      <c r="B7" s="13" t="s">
        <v>639</v>
      </c>
    </row>
    <row r="8" ht="14.4" spans="1:2">
      <c r="A8" s="13" t="s">
        <v>407</v>
      </c>
      <c r="B8" s="13" t="s">
        <v>640</v>
      </c>
    </row>
    <row r="9" ht="14.4" spans="1:2">
      <c r="A9" s="13" t="s">
        <v>391</v>
      </c>
      <c r="B9" s="13" t="s">
        <v>641</v>
      </c>
    </row>
    <row r="10" ht="14.4" spans="1:2">
      <c r="A10" s="13" t="s">
        <v>406</v>
      </c>
      <c r="B10" s="13" t="s">
        <v>642</v>
      </c>
    </row>
    <row r="11" ht="14.4" spans="2:2">
      <c r="B11" s="15"/>
    </row>
  </sheetData>
  <pageMargins left="0.699305555555556" right="0.699305555555556" top="0.75" bottom="0.75" header="0.3" footer="0.3"/>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B10"/>
  <sheetViews>
    <sheetView workbookViewId="0">
      <selection activeCell="E15" sqref="E15"/>
    </sheetView>
  </sheetViews>
  <sheetFormatPr defaultColWidth="9" defaultRowHeight="13.8" outlineLevelCol="1"/>
  <sheetData>
    <row r="1" ht="17.4" spans="1:2">
      <c r="A1" s="13" t="s">
        <v>403</v>
      </c>
      <c r="B1" s="14" t="s">
        <v>643</v>
      </c>
    </row>
    <row r="2" ht="17.4" spans="1:2">
      <c r="A2" s="13" t="s">
        <v>405</v>
      </c>
      <c r="B2" s="14" t="s">
        <v>644</v>
      </c>
    </row>
    <row r="3" ht="17.4" spans="1:2">
      <c r="A3" s="13" t="s">
        <v>391</v>
      </c>
      <c r="B3" s="14" t="s">
        <v>645</v>
      </c>
    </row>
    <row r="4" ht="17.4" spans="1:2">
      <c r="A4" s="13" t="s">
        <v>400</v>
      </c>
      <c r="B4" s="14" t="s">
        <v>646</v>
      </c>
    </row>
    <row r="5" ht="17.4" spans="1:2">
      <c r="A5" s="13" t="s">
        <v>404</v>
      </c>
      <c r="B5" s="14" t="s">
        <v>647</v>
      </c>
    </row>
    <row r="6" ht="17.4" spans="1:2">
      <c r="A6" s="13" t="s">
        <v>407</v>
      </c>
      <c r="B6" s="14" t="s">
        <v>648</v>
      </c>
    </row>
    <row r="7" ht="17.4" spans="1:2">
      <c r="A7" s="13" t="s">
        <v>402</v>
      </c>
      <c r="B7" s="14" t="s">
        <v>649</v>
      </c>
    </row>
    <row r="8" ht="17.4" spans="1:2">
      <c r="A8" s="13" t="s">
        <v>77</v>
      </c>
      <c r="B8" s="14" t="s">
        <v>650</v>
      </c>
    </row>
    <row r="9" ht="17.4" spans="1:2">
      <c r="A9" s="13" t="s">
        <v>395</v>
      </c>
      <c r="B9" s="14" t="s">
        <v>651</v>
      </c>
    </row>
    <row r="10" ht="17.4" spans="1:2">
      <c r="A10" s="13" t="s">
        <v>406</v>
      </c>
      <c r="B10" s="13" t="s">
        <v>652</v>
      </c>
    </row>
  </sheetData>
  <pageMargins left="0.699305555555556" right="0.699305555555556" top="0.75" bottom="0.75" header="0.3" footer="0.3"/>
  <pageSetup paperSize="9" orientation="portrait"/>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AN12"/>
  <sheetViews>
    <sheetView workbookViewId="0">
      <selection activeCell="A1" sqref="A1:AN100"/>
    </sheetView>
  </sheetViews>
  <sheetFormatPr defaultColWidth="9" defaultRowHeight="13.8"/>
  <sheetData>
    <row r="1" spans="1:40">
      <c r="A1" s="12" t="s">
        <v>653</v>
      </c>
      <c r="B1" s="12" t="s">
        <v>654</v>
      </c>
      <c r="C1" s="12" t="s">
        <v>655</v>
      </c>
      <c r="D1" s="12" t="s">
        <v>656</v>
      </c>
      <c r="E1" s="12" t="s">
        <v>657</v>
      </c>
      <c r="F1" s="12" t="s">
        <v>658</v>
      </c>
      <c r="G1" s="12" t="s">
        <v>659</v>
      </c>
      <c r="H1" s="12" t="s">
        <v>660</v>
      </c>
      <c r="I1" s="12" t="s">
        <v>661</v>
      </c>
      <c r="J1" s="12" t="s">
        <v>662</v>
      </c>
      <c r="K1" s="12" t="s">
        <v>663</v>
      </c>
      <c r="L1" s="12" t="s">
        <v>664</v>
      </c>
      <c r="M1" s="12" t="s">
        <v>665</v>
      </c>
      <c r="N1" s="12" t="s">
        <v>666</v>
      </c>
      <c r="O1" s="12" t="s">
        <v>667</v>
      </c>
      <c r="P1" s="12" t="s">
        <v>668</v>
      </c>
      <c r="Q1" s="12" t="s">
        <v>669</v>
      </c>
      <c r="R1" s="12" t="s">
        <v>670</v>
      </c>
      <c r="S1" s="12" t="s">
        <v>671</v>
      </c>
      <c r="T1" s="12" t="s">
        <v>672</v>
      </c>
      <c r="U1" s="12" t="s">
        <v>673</v>
      </c>
      <c r="V1" s="12" t="s">
        <v>674</v>
      </c>
      <c r="W1" s="12" t="s">
        <v>675</v>
      </c>
      <c r="X1" s="12" t="s">
        <v>676</v>
      </c>
      <c r="Y1" s="12" t="s">
        <v>677</v>
      </c>
      <c r="Z1" s="12" t="s">
        <v>678</v>
      </c>
      <c r="AA1" s="12" t="s">
        <v>679</v>
      </c>
      <c r="AB1" s="12" t="s">
        <v>680</v>
      </c>
      <c r="AC1" s="12" t="s">
        <v>681</v>
      </c>
      <c r="AD1" s="12" t="s">
        <v>682</v>
      </c>
      <c r="AE1" s="12" t="s">
        <v>683</v>
      </c>
      <c r="AF1" s="12" t="s">
        <v>684</v>
      </c>
      <c r="AG1" s="12" t="s">
        <v>685</v>
      </c>
      <c r="AH1" s="12" t="s">
        <v>686</v>
      </c>
      <c r="AI1" s="12" t="s">
        <v>3</v>
      </c>
      <c r="AJ1" s="12" t="s">
        <v>687</v>
      </c>
      <c r="AK1" s="12" t="s">
        <v>688</v>
      </c>
      <c r="AL1" s="12" t="s">
        <v>689</v>
      </c>
      <c r="AM1" s="12" t="s">
        <v>690</v>
      </c>
      <c r="AN1" s="12" t="s">
        <v>691</v>
      </c>
    </row>
    <row r="2" spans="1:40">
      <c r="A2" s="12" t="s">
        <v>692</v>
      </c>
      <c r="B2" s="12" t="s">
        <v>693</v>
      </c>
      <c r="C2" s="12" t="s">
        <v>694</v>
      </c>
      <c r="D2" s="12" t="s">
        <v>695</v>
      </c>
      <c r="E2" s="12" t="s">
        <v>696</v>
      </c>
      <c r="F2" s="12" t="s">
        <v>697</v>
      </c>
      <c r="G2" s="12" t="s">
        <v>698</v>
      </c>
      <c r="H2" s="12" t="s">
        <v>699</v>
      </c>
      <c r="I2" s="12" t="s">
        <v>700</v>
      </c>
      <c r="J2" s="12" t="s">
        <v>701</v>
      </c>
      <c r="K2" s="12" t="s">
        <v>702</v>
      </c>
      <c r="L2" s="12" t="s">
        <v>703</v>
      </c>
      <c r="M2" s="12" t="s">
        <v>704</v>
      </c>
      <c r="N2" s="12" t="s">
        <v>705</v>
      </c>
      <c r="O2" s="12" t="s">
        <v>706</v>
      </c>
      <c r="P2" s="12" t="s">
        <v>707</v>
      </c>
      <c r="Q2" s="12" t="s">
        <v>708</v>
      </c>
      <c r="R2" s="12" t="s">
        <v>709</v>
      </c>
      <c r="S2" s="12" t="s">
        <v>710</v>
      </c>
      <c r="T2" s="12" t="s">
        <v>711</v>
      </c>
      <c r="U2" s="12" t="s">
        <v>712</v>
      </c>
      <c r="V2" s="12" t="s">
        <v>713</v>
      </c>
      <c r="W2" s="12" t="s">
        <v>714</v>
      </c>
      <c r="X2" s="12" t="s">
        <v>715</v>
      </c>
      <c r="Y2" s="12" t="s">
        <v>716</v>
      </c>
      <c r="Z2" s="12" t="s">
        <v>717</v>
      </c>
      <c r="AA2" s="12" t="s">
        <v>718</v>
      </c>
      <c r="AB2" s="12" t="s">
        <v>719</v>
      </c>
      <c r="AC2" s="12" t="s">
        <v>720</v>
      </c>
      <c r="AD2" s="12" t="s">
        <v>721</v>
      </c>
      <c r="AE2" s="12" t="s">
        <v>722</v>
      </c>
      <c r="AF2" s="12" t="s">
        <v>723</v>
      </c>
      <c r="AG2" s="12" t="s">
        <v>724</v>
      </c>
      <c r="AH2" s="12" t="s">
        <v>725</v>
      </c>
      <c r="AI2" s="12" t="s">
        <v>726</v>
      </c>
      <c r="AJ2" s="12" t="s">
        <v>727</v>
      </c>
      <c r="AK2" s="12" t="s">
        <v>728</v>
      </c>
      <c r="AL2" s="12" t="s">
        <v>729</v>
      </c>
      <c r="AM2" s="12" t="s">
        <v>730</v>
      </c>
      <c r="AN2" s="12" t="s">
        <v>731</v>
      </c>
    </row>
    <row r="3" spans="1:40">
      <c r="A3" s="12" t="s">
        <v>732</v>
      </c>
      <c r="B3" s="12" t="s">
        <v>733</v>
      </c>
      <c r="C3" s="12" t="s">
        <v>734</v>
      </c>
      <c r="D3" s="12" t="s">
        <v>735</v>
      </c>
      <c r="E3" s="12" t="s">
        <v>736</v>
      </c>
      <c r="F3" s="12" t="s">
        <v>737</v>
      </c>
      <c r="G3" s="12" t="s">
        <v>738</v>
      </c>
      <c r="H3" s="12" t="s">
        <v>739</v>
      </c>
      <c r="I3" s="12" t="s">
        <v>740</v>
      </c>
      <c r="J3" s="12" t="s">
        <v>741</v>
      </c>
      <c r="K3" s="12" t="s">
        <v>742</v>
      </c>
      <c r="L3" s="12" t="s">
        <v>743</v>
      </c>
      <c r="M3" s="12" t="s">
        <v>744</v>
      </c>
      <c r="N3" s="12" t="s">
        <v>745</v>
      </c>
      <c r="O3" s="12" t="s">
        <v>746</v>
      </c>
      <c r="P3" s="12" t="s">
        <v>747</v>
      </c>
      <c r="Q3" s="12" t="s">
        <v>748</v>
      </c>
      <c r="R3" s="12" t="s">
        <v>749</v>
      </c>
      <c r="S3" s="12" t="s">
        <v>750</v>
      </c>
      <c r="T3" s="12" t="s">
        <v>751</v>
      </c>
      <c r="U3" s="12" t="s">
        <v>752</v>
      </c>
      <c r="V3" s="12" t="s">
        <v>753</v>
      </c>
      <c r="W3" s="12" t="s">
        <v>754</v>
      </c>
      <c r="X3" s="12" t="s">
        <v>755</v>
      </c>
      <c r="Y3" s="12" t="s">
        <v>756</v>
      </c>
      <c r="Z3" s="12" t="s">
        <v>757</v>
      </c>
      <c r="AA3" s="12" t="s">
        <v>758</v>
      </c>
      <c r="AB3" s="12" t="s">
        <v>759</v>
      </c>
      <c r="AC3" s="12" t="s">
        <v>760</v>
      </c>
      <c r="AD3" s="12" t="s">
        <v>761</v>
      </c>
      <c r="AE3" s="12" t="s">
        <v>762</v>
      </c>
      <c r="AF3" s="12" t="s">
        <v>763</v>
      </c>
      <c r="AG3" s="12" t="s">
        <v>764</v>
      </c>
      <c r="AH3" s="12" t="s">
        <v>765</v>
      </c>
      <c r="AI3" s="12" t="s">
        <v>1</v>
      </c>
      <c r="AJ3" s="12" t="s">
        <v>766</v>
      </c>
      <c r="AK3" s="12" t="s">
        <v>767</v>
      </c>
      <c r="AL3" s="12" t="s">
        <v>768</v>
      </c>
      <c r="AM3" s="12" t="s">
        <v>769</v>
      </c>
      <c r="AN3" s="12" t="s">
        <v>770</v>
      </c>
    </row>
    <row r="4" spans="1:40">
      <c r="A4" s="12" t="s">
        <v>771</v>
      </c>
      <c r="B4" s="12" t="s">
        <v>772</v>
      </c>
      <c r="C4" s="12"/>
      <c r="D4" s="12" t="s">
        <v>773</v>
      </c>
      <c r="E4" s="12" t="s">
        <v>774</v>
      </c>
      <c r="F4" s="12" t="s">
        <v>775</v>
      </c>
      <c r="G4" s="12" t="s">
        <v>776</v>
      </c>
      <c r="H4" s="12" t="s">
        <v>777</v>
      </c>
      <c r="I4" s="12" t="s">
        <v>778</v>
      </c>
      <c r="J4" s="12" t="s">
        <v>779</v>
      </c>
      <c r="K4" s="12" t="s">
        <v>780</v>
      </c>
      <c r="L4" s="12" t="s">
        <v>781</v>
      </c>
      <c r="M4" s="12" t="s">
        <v>782</v>
      </c>
      <c r="N4" s="12" t="s">
        <v>783</v>
      </c>
      <c r="O4" s="12" t="s">
        <v>784</v>
      </c>
      <c r="P4" s="12" t="s">
        <v>785</v>
      </c>
      <c r="Q4" s="12" t="s">
        <v>786</v>
      </c>
      <c r="R4" s="12" t="s">
        <v>787</v>
      </c>
      <c r="S4" s="12" t="s">
        <v>788</v>
      </c>
      <c r="T4" s="12" t="s">
        <v>789</v>
      </c>
      <c r="U4" s="12" t="s">
        <v>790</v>
      </c>
      <c r="V4" s="12" t="s">
        <v>791</v>
      </c>
      <c r="W4" s="12" t="s">
        <v>792</v>
      </c>
      <c r="X4" s="12" t="s">
        <v>793</v>
      </c>
      <c r="Y4" s="12" t="s">
        <v>794</v>
      </c>
      <c r="Z4" s="12" t="s">
        <v>795</v>
      </c>
      <c r="AA4" s="12" t="s">
        <v>796</v>
      </c>
      <c r="AB4" s="12" t="s">
        <v>797</v>
      </c>
      <c r="AC4" s="12" t="s">
        <v>798</v>
      </c>
      <c r="AD4" s="12"/>
      <c r="AE4" s="12" t="s">
        <v>799</v>
      </c>
      <c r="AF4" s="12" t="s">
        <v>800</v>
      </c>
      <c r="AG4" s="12"/>
      <c r="AH4" s="12" t="s">
        <v>801</v>
      </c>
      <c r="AI4" s="12" t="s">
        <v>802</v>
      </c>
      <c r="AJ4" s="12" t="s">
        <v>803</v>
      </c>
      <c r="AK4" s="12" t="s">
        <v>804</v>
      </c>
      <c r="AL4" s="12" t="s">
        <v>805</v>
      </c>
      <c r="AM4" s="12" t="s">
        <v>806</v>
      </c>
      <c r="AN4" s="12" t="s">
        <v>807</v>
      </c>
    </row>
    <row r="5" spans="1:40">
      <c r="A5" s="12" t="s">
        <v>808</v>
      </c>
      <c r="B5" s="12" t="s">
        <v>809</v>
      </c>
      <c r="C5" s="12"/>
      <c r="D5" s="12"/>
      <c r="E5" s="12" t="s">
        <v>810</v>
      </c>
      <c r="F5" s="12"/>
      <c r="G5" s="12" t="s">
        <v>811</v>
      </c>
      <c r="H5" s="12" t="s">
        <v>812</v>
      </c>
      <c r="I5" s="12" t="s">
        <v>813</v>
      </c>
      <c r="J5" s="12"/>
      <c r="K5" s="12"/>
      <c r="L5" s="12" t="s">
        <v>814</v>
      </c>
      <c r="M5" s="12" t="s">
        <v>815</v>
      </c>
      <c r="N5" s="12" t="s">
        <v>816</v>
      </c>
      <c r="O5" s="12" t="s">
        <v>817</v>
      </c>
      <c r="P5" s="12"/>
      <c r="Q5" s="12" t="s">
        <v>818</v>
      </c>
      <c r="R5" s="12" t="s">
        <v>819</v>
      </c>
      <c r="S5" s="12" t="s">
        <v>820</v>
      </c>
      <c r="T5" s="12" t="s">
        <v>821</v>
      </c>
      <c r="U5" s="12" t="s">
        <v>822</v>
      </c>
      <c r="V5" s="12" t="s">
        <v>823</v>
      </c>
      <c r="W5" s="12" t="s">
        <v>824</v>
      </c>
      <c r="X5" s="12" t="s">
        <v>825</v>
      </c>
      <c r="Y5" s="12" t="s">
        <v>826</v>
      </c>
      <c r="Z5" s="12" t="s">
        <v>827</v>
      </c>
      <c r="AA5" s="12" t="s">
        <v>828</v>
      </c>
      <c r="AB5" s="12" t="s">
        <v>829</v>
      </c>
      <c r="AC5" s="12"/>
      <c r="AD5" s="12"/>
      <c r="AE5" s="12" t="s">
        <v>830</v>
      </c>
      <c r="AF5" s="12"/>
      <c r="AG5" s="12"/>
      <c r="AH5" s="12" t="s">
        <v>831</v>
      </c>
      <c r="AI5" s="12" t="s">
        <v>832</v>
      </c>
      <c r="AJ5" s="12" t="s">
        <v>833</v>
      </c>
      <c r="AK5" s="12" t="s">
        <v>834</v>
      </c>
      <c r="AL5" s="12" t="s">
        <v>835</v>
      </c>
      <c r="AM5" s="12" t="s">
        <v>836</v>
      </c>
      <c r="AN5" s="12" t="s">
        <v>837</v>
      </c>
    </row>
    <row r="6" spans="1:40">
      <c r="A6" s="12" t="s">
        <v>838</v>
      </c>
      <c r="B6" s="12" t="s">
        <v>839</v>
      </c>
      <c r="C6" s="12"/>
      <c r="D6" s="12"/>
      <c r="E6" s="12" t="s">
        <v>840</v>
      </c>
      <c r="F6" s="12"/>
      <c r="G6" s="12" t="s">
        <v>841</v>
      </c>
      <c r="H6" s="12"/>
      <c r="I6" s="12" t="s">
        <v>842</v>
      </c>
      <c r="J6" s="12"/>
      <c r="K6" s="12"/>
      <c r="L6" s="12" t="s">
        <v>843</v>
      </c>
      <c r="M6" s="12"/>
      <c r="N6" s="12" t="s">
        <v>844</v>
      </c>
      <c r="O6" s="12" t="s">
        <v>845</v>
      </c>
      <c r="P6" s="12"/>
      <c r="Q6" s="12" t="s">
        <v>846</v>
      </c>
      <c r="R6" s="12" t="s">
        <v>847</v>
      </c>
      <c r="S6" s="12"/>
      <c r="T6" s="12" t="s">
        <v>848</v>
      </c>
      <c r="U6" s="12" t="s">
        <v>849</v>
      </c>
      <c r="V6" s="12" t="s">
        <v>850</v>
      </c>
      <c r="W6" s="12" t="s">
        <v>851</v>
      </c>
      <c r="X6" s="12" t="s">
        <v>852</v>
      </c>
      <c r="Y6" s="12" t="s">
        <v>853</v>
      </c>
      <c r="Z6" s="12" t="s">
        <v>854</v>
      </c>
      <c r="AA6" s="12" t="s">
        <v>855</v>
      </c>
      <c r="AB6" s="12" t="s">
        <v>856</v>
      </c>
      <c r="AC6" s="12"/>
      <c r="AD6" s="12"/>
      <c r="AE6" s="12" t="s">
        <v>857</v>
      </c>
      <c r="AF6" s="12"/>
      <c r="AG6" s="12"/>
      <c r="AH6" s="12"/>
      <c r="AI6" s="12" t="s">
        <v>858</v>
      </c>
      <c r="AJ6" s="12" t="s">
        <v>859</v>
      </c>
      <c r="AK6" s="12" t="s">
        <v>860</v>
      </c>
      <c r="AL6" s="12"/>
      <c r="AM6" s="12"/>
      <c r="AN6" s="12" t="s">
        <v>861</v>
      </c>
    </row>
    <row r="7" spans="1:40">
      <c r="A7" s="12" t="s">
        <v>862</v>
      </c>
      <c r="B7" s="12" t="s">
        <v>863</v>
      </c>
      <c r="C7" s="12"/>
      <c r="D7" s="12"/>
      <c r="E7" s="12" t="s">
        <v>864</v>
      </c>
      <c r="F7" s="12"/>
      <c r="G7" s="12"/>
      <c r="H7" s="12"/>
      <c r="I7" s="12"/>
      <c r="J7" s="12"/>
      <c r="K7" s="12"/>
      <c r="L7" s="12" t="s">
        <v>865</v>
      </c>
      <c r="M7" s="12"/>
      <c r="N7" s="12" t="s">
        <v>866</v>
      </c>
      <c r="O7" s="12" t="s">
        <v>867</v>
      </c>
      <c r="P7" s="12"/>
      <c r="Q7" s="12" t="s">
        <v>868</v>
      </c>
      <c r="R7" s="12" t="s">
        <v>869</v>
      </c>
      <c r="S7" s="12"/>
      <c r="T7" s="12"/>
      <c r="U7" s="12" t="s">
        <v>870</v>
      </c>
      <c r="V7" s="12" t="s">
        <v>871</v>
      </c>
      <c r="W7" s="12" t="s">
        <v>872</v>
      </c>
      <c r="X7" s="12" t="s">
        <v>873</v>
      </c>
      <c r="Y7" s="12" t="s">
        <v>874</v>
      </c>
      <c r="Z7" s="12" t="s">
        <v>875</v>
      </c>
      <c r="AA7" s="12" t="s">
        <v>876</v>
      </c>
      <c r="AB7" s="12" t="s">
        <v>877</v>
      </c>
      <c r="AC7" s="12"/>
      <c r="AD7" s="12"/>
      <c r="AE7" s="12" t="s">
        <v>878</v>
      </c>
      <c r="AF7" s="12"/>
      <c r="AG7" s="12"/>
      <c r="AH7" s="12"/>
      <c r="AI7" s="12" t="s">
        <v>879</v>
      </c>
      <c r="AJ7" s="12"/>
      <c r="AK7" s="12"/>
      <c r="AL7" s="12"/>
      <c r="AM7" s="12"/>
      <c r="AN7" s="12" t="s">
        <v>880</v>
      </c>
    </row>
    <row r="8" spans="1:40">
      <c r="A8" s="12" t="s">
        <v>881</v>
      </c>
      <c r="B8" s="12" t="s">
        <v>882</v>
      </c>
      <c r="C8" s="12"/>
      <c r="D8" s="12"/>
      <c r="E8" s="12" t="s">
        <v>883</v>
      </c>
      <c r="F8" s="12"/>
      <c r="G8" s="12"/>
      <c r="H8" s="12"/>
      <c r="I8" s="12"/>
      <c r="J8" s="12"/>
      <c r="K8" s="12"/>
      <c r="L8" s="12"/>
      <c r="M8" s="12"/>
      <c r="N8" s="12" t="s">
        <v>884</v>
      </c>
      <c r="O8" s="12" t="s">
        <v>885</v>
      </c>
      <c r="P8" s="12"/>
      <c r="Q8" s="12" t="s">
        <v>886</v>
      </c>
      <c r="R8" s="12" t="s">
        <v>887</v>
      </c>
      <c r="S8" s="12"/>
      <c r="T8" s="12"/>
      <c r="U8" s="12" t="s">
        <v>888</v>
      </c>
      <c r="V8" s="12" t="s">
        <v>889</v>
      </c>
      <c r="W8" s="12" t="s">
        <v>890</v>
      </c>
      <c r="X8" s="12" t="s">
        <v>891</v>
      </c>
      <c r="Y8" s="12" t="s">
        <v>892</v>
      </c>
      <c r="Z8" s="12" t="s">
        <v>893</v>
      </c>
      <c r="AA8" s="12" t="s">
        <v>894</v>
      </c>
      <c r="AB8" s="12"/>
      <c r="AC8" s="12"/>
      <c r="AD8" s="12"/>
      <c r="AE8" s="12" t="s">
        <v>895</v>
      </c>
      <c r="AF8" s="12"/>
      <c r="AG8" s="12"/>
      <c r="AH8" s="12"/>
      <c r="AI8" s="12" t="s">
        <v>896</v>
      </c>
      <c r="AJ8" s="12"/>
      <c r="AK8" s="12"/>
      <c r="AL8" s="12"/>
      <c r="AM8" s="12"/>
      <c r="AN8" s="12"/>
    </row>
    <row r="9" spans="1:40">
      <c r="A9" s="12" t="s">
        <v>897</v>
      </c>
      <c r="B9" s="12"/>
      <c r="C9" s="12"/>
      <c r="D9" s="12"/>
      <c r="E9" s="12" t="s">
        <v>898</v>
      </c>
      <c r="F9" s="12"/>
      <c r="G9" s="12"/>
      <c r="H9" s="12"/>
      <c r="I9" s="12"/>
      <c r="J9" s="12"/>
      <c r="K9" s="12"/>
      <c r="L9" s="12"/>
      <c r="M9" s="12"/>
      <c r="N9" s="12" t="s">
        <v>899</v>
      </c>
      <c r="O9" s="12" t="s">
        <v>900</v>
      </c>
      <c r="P9" s="12"/>
      <c r="Q9" s="12" t="s">
        <v>901</v>
      </c>
      <c r="R9" s="12" t="s">
        <v>902</v>
      </c>
      <c r="S9" s="12"/>
      <c r="T9" s="12"/>
      <c r="U9" s="12" t="s">
        <v>903</v>
      </c>
      <c r="V9" s="12" t="s">
        <v>904</v>
      </c>
      <c r="W9" s="12" t="s">
        <v>905</v>
      </c>
      <c r="X9" s="12"/>
      <c r="Y9" s="12" t="s">
        <v>906</v>
      </c>
      <c r="Z9" s="12" t="s">
        <v>907</v>
      </c>
      <c r="AA9" s="12" t="s">
        <v>908</v>
      </c>
      <c r="AB9" s="12"/>
      <c r="AC9" s="12"/>
      <c r="AD9" s="12"/>
      <c r="AE9" s="12"/>
      <c r="AF9" s="12"/>
      <c r="AG9" s="12"/>
      <c r="AH9" s="12"/>
      <c r="AI9" s="12"/>
      <c r="AJ9" s="12"/>
      <c r="AK9" s="12"/>
      <c r="AL9" s="12"/>
      <c r="AM9" s="12"/>
      <c r="AN9" s="12"/>
    </row>
    <row r="10" spans="1:40">
      <c r="A10" s="12"/>
      <c r="B10" s="12"/>
      <c r="C10" s="12"/>
      <c r="D10" s="12"/>
      <c r="E10" s="12"/>
      <c r="F10" s="12"/>
      <c r="G10" s="12"/>
      <c r="H10" s="12"/>
      <c r="I10" s="12"/>
      <c r="J10" s="12"/>
      <c r="K10" s="12"/>
      <c r="L10" s="12"/>
      <c r="M10" s="12"/>
      <c r="N10" s="12"/>
      <c r="O10" s="12"/>
      <c r="P10" s="12"/>
      <c r="Q10" s="12" t="s">
        <v>909</v>
      </c>
      <c r="R10" s="12" t="s">
        <v>910</v>
      </c>
      <c r="S10" s="12"/>
      <c r="T10" s="12"/>
      <c r="U10" s="12" t="s">
        <v>911</v>
      </c>
      <c r="V10" s="12" t="s">
        <v>912</v>
      </c>
      <c r="W10" s="12" t="s">
        <v>913</v>
      </c>
      <c r="X10" s="12"/>
      <c r="Y10" s="12" t="s">
        <v>914</v>
      </c>
      <c r="Z10" s="12"/>
      <c r="AA10" s="12" t="s">
        <v>915</v>
      </c>
      <c r="AB10" s="12"/>
      <c r="AC10" s="12"/>
      <c r="AD10" s="12"/>
      <c r="AE10" s="12"/>
      <c r="AF10" s="12"/>
      <c r="AG10" s="12"/>
      <c r="AH10" s="12"/>
      <c r="AI10" s="12"/>
      <c r="AJ10" s="12"/>
      <c r="AK10" s="12"/>
      <c r="AL10" s="12"/>
      <c r="AM10" s="12"/>
      <c r="AN10" s="12"/>
    </row>
    <row r="11" spans="1:40">
      <c r="A11" s="12"/>
      <c r="B11" s="12"/>
      <c r="C11" s="12"/>
      <c r="D11" s="12"/>
      <c r="E11" s="12"/>
      <c r="F11" s="12"/>
      <c r="G11" s="12"/>
      <c r="H11" s="12"/>
      <c r="I11" s="12"/>
      <c r="J11" s="12"/>
      <c r="K11" s="12"/>
      <c r="L11" s="12"/>
      <c r="M11" s="12"/>
      <c r="N11" s="12"/>
      <c r="O11" s="12"/>
      <c r="P11" s="12"/>
      <c r="Q11" s="12" t="s">
        <v>916</v>
      </c>
      <c r="R11" s="12"/>
      <c r="S11" s="12"/>
      <c r="T11" s="12"/>
      <c r="U11" s="12"/>
      <c r="V11" s="12"/>
      <c r="W11" s="12"/>
      <c r="X11" s="12"/>
      <c r="Y11" s="12"/>
      <c r="Z11" s="12"/>
      <c r="AA11" s="12"/>
      <c r="AB11" s="12"/>
      <c r="AC11" s="12"/>
      <c r="AD11" s="12"/>
      <c r="AE11" s="12"/>
      <c r="AF11" s="12"/>
      <c r="AG11" s="12"/>
      <c r="AH11" s="12"/>
      <c r="AI11" s="12"/>
      <c r="AJ11" s="12"/>
      <c r="AK11" s="12"/>
      <c r="AL11" s="12"/>
      <c r="AM11" s="12"/>
      <c r="AN11" s="12"/>
    </row>
    <row r="12" spans="1:40">
      <c r="A12" s="12"/>
      <c r="B12" s="12"/>
      <c r="C12" s="12"/>
      <c r="D12" s="12"/>
      <c r="E12" s="12"/>
      <c r="F12" s="12"/>
      <c r="G12" s="12"/>
      <c r="H12" s="12"/>
      <c r="I12" s="12"/>
      <c r="J12" s="12"/>
      <c r="K12" s="12"/>
      <c r="L12" s="12"/>
      <c r="M12" s="12"/>
      <c r="N12" s="12"/>
      <c r="O12" s="12"/>
      <c r="P12" s="12"/>
      <c r="Q12" s="12" t="s">
        <v>917</v>
      </c>
      <c r="R12" s="12"/>
      <c r="S12" s="12"/>
      <c r="T12" s="12"/>
      <c r="U12" s="12"/>
      <c r="V12" s="12"/>
      <c r="W12" s="12"/>
      <c r="X12" s="12"/>
      <c r="Y12" s="12"/>
      <c r="Z12" s="12"/>
      <c r="AA12" s="12"/>
      <c r="AB12" s="12"/>
      <c r="AC12" s="12"/>
      <c r="AD12" s="12"/>
      <c r="AE12" s="12"/>
      <c r="AF12" s="12"/>
      <c r="AG12" s="12"/>
      <c r="AH12" s="12"/>
      <c r="AI12" s="12"/>
      <c r="AJ12" s="12"/>
      <c r="AK12" s="12"/>
      <c r="AL12" s="12"/>
      <c r="AM12" s="12"/>
      <c r="AN12" s="12"/>
    </row>
  </sheetData>
  <pageMargins left="0.699305555555556" right="0.699305555555556" top="0.75" bottom="0.75" header="0.3" footer="0.3"/>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5"/>
  <dimension ref="A1:AH11"/>
  <sheetViews>
    <sheetView workbookViewId="0">
      <selection activeCell="A1" sqref="A1:AN100"/>
    </sheetView>
  </sheetViews>
  <sheetFormatPr defaultColWidth="9" defaultRowHeight="13.8"/>
  <cols>
    <col min="1" max="1" width="24.3333333333333" customWidth="1"/>
    <col min="2" max="2" width="20.4444444444444" customWidth="1"/>
    <col min="3" max="3" width="62.7777777777778" customWidth="1"/>
  </cols>
  <sheetData>
    <row r="1" spans="1:34">
      <c r="A1" s="9" t="s">
        <v>918</v>
      </c>
      <c r="B1" s="9" t="s">
        <v>106</v>
      </c>
      <c r="C1" s="9" t="s">
        <v>919</v>
      </c>
      <c r="D1" s="9" t="s">
        <v>920</v>
      </c>
      <c r="E1" s="9" t="s">
        <v>921</v>
      </c>
      <c r="F1" s="9" t="s">
        <v>922</v>
      </c>
      <c r="G1" s="9" t="s">
        <v>923</v>
      </c>
      <c r="H1" s="9" t="s">
        <v>924</v>
      </c>
      <c r="I1" s="9" t="s">
        <v>925</v>
      </c>
      <c r="J1" s="9" t="s">
        <v>926</v>
      </c>
      <c r="K1" s="9" t="s">
        <v>927</v>
      </c>
      <c r="L1" s="9" t="s">
        <v>928</v>
      </c>
      <c r="M1" s="9" t="s">
        <v>929</v>
      </c>
      <c r="N1" s="9" t="s">
        <v>930</v>
      </c>
      <c r="O1" s="9" t="s">
        <v>931</v>
      </c>
      <c r="P1" s="9" t="s">
        <v>932</v>
      </c>
      <c r="Q1" s="9" t="s">
        <v>933</v>
      </c>
      <c r="R1" s="9" t="s">
        <v>934</v>
      </c>
      <c r="S1" s="9" t="s">
        <v>935</v>
      </c>
      <c r="T1" s="9" t="s">
        <v>936</v>
      </c>
      <c r="U1" s="9" t="s">
        <v>937</v>
      </c>
      <c r="V1" s="9" t="s">
        <v>938</v>
      </c>
      <c r="W1" s="9" t="s">
        <v>939</v>
      </c>
      <c r="X1" s="9" t="s">
        <v>940</v>
      </c>
      <c r="Y1" s="9" t="s">
        <v>941</v>
      </c>
      <c r="Z1" s="9" t="s">
        <v>942</v>
      </c>
      <c r="AA1" s="9" t="s">
        <v>943</v>
      </c>
      <c r="AB1" s="9" t="s">
        <v>944</v>
      </c>
      <c r="AC1" s="9" t="s">
        <v>945</v>
      </c>
      <c r="AD1" s="9" t="s">
        <v>946</v>
      </c>
      <c r="AE1" s="9" t="s">
        <v>947</v>
      </c>
      <c r="AF1" s="9" t="s">
        <v>948</v>
      </c>
      <c r="AG1" s="9" t="s">
        <v>949</v>
      </c>
      <c r="AH1" s="9" t="s">
        <v>950</v>
      </c>
    </row>
    <row r="2" ht="276" spans="1:34">
      <c r="A2" s="9" t="s">
        <v>951</v>
      </c>
      <c r="B2" s="9" t="s">
        <v>952</v>
      </c>
      <c r="C2" s="9" t="s">
        <v>953</v>
      </c>
      <c r="D2" s="9" t="s">
        <v>954</v>
      </c>
      <c r="E2" s="9" t="s">
        <v>955</v>
      </c>
      <c r="F2" s="9" t="s">
        <v>956</v>
      </c>
      <c r="G2" s="9" t="s">
        <v>957</v>
      </c>
      <c r="H2" s="9" t="s">
        <v>958</v>
      </c>
      <c r="I2" s="9" t="s">
        <v>959</v>
      </c>
      <c r="J2" s="9" t="s">
        <v>960</v>
      </c>
      <c r="K2" s="9" t="s">
        <v>961</v>
      </c>
      <c r="L2" s="9" t="s">
        <v>962</v>
      </c>
      <c r="M2" s="9" t="s">
        <v>963</v>
      </c>
      <c r="N2" s="10" t="s">
        <v>964</v>
      </c>
      <c r="O2" s="10" t="s">
        <v>965</v>
      </c>
      <c r="P2" s="9" t="s">
        <v>966</v>
      </c>
      <c r="Q2" s="10" t="s">
        <v>967</v>
      </c>
      <c r="R2" s="9" t="s">
        <v>968</v>
      </c>
      <c r="S2" s="11" t="s">
        <v>969</v>
      </c>
      <c r="T2" s="11" t="s">
        <v>970</v>
      </c>
      <c r="U2" s="11" t="s">
        <v>971</v>
      </c>
      <c r="V2" s="11" t="s">
        <v>972</v>
      </c>
      <c r="W2" s="11" t="s">
        <v>973</v>
      </c>
      <c r="X2" s="11" t="s">
        <v>974</v>
      </c>
      <c r="Y2" s="11" t="s">
        <v>975</v>
      </c>
      <c r="Z2" s="11" t="s">
        <v>976</v>
      </c>
      <c r="AA2" s="11" t="s">
        <v>977</v>
      </c>
      <c r="AB2" s="11" t="s">
        <v>978</v>
      </c>
      <c r="AC2" s="11" t="s">
        <v>979</v>
      </c>
      <c r="AD2" s="11" t="s">
        <v>980</v>
      </c>
      <c r="AE2" s="11" t="s">
        <v>981</v>
      </c>
      <c r="AF2" s="9" t="s">
        <v>982</v>
      </c>
      <c r="AG2" s="10" t="s">
        <v>983</v>
      </c>
      <c r="AH2" s="10" t="s">
        <v>984</v>
      </c>
    </row>
    <row r="3" spans="1:34">
      <c r="A3" s="9"/>
      <c r="B3" s="9" t="s">
        <v>104</v>
      </c>
      <c r="C3" s="9" t="s">
        <v>985</v>
      </c>
      <c r="D3" s="9" t="s">
        <v>986</v>
      </c>
      <c r="E3" s="9"/>
      <c r="F3" s="9"/>
      <c r="G3" s="9"/>
      <c r="H3" s="9" t="s">
        <v>987</v>
      </c>
      <c r="I3" s="9" t="s">
        <v>988</v>
      </c>
      <c r="J3" s="9"/>
      <c r="K3" s="9"/>
      <c r="L3" s="9"/>
      <c r="M3" s="9" t="s">
        <v>989</v>
      </c>
      <c r="N3" s="9" t="s">
        <v>990</v>
      </c>
      <c r="O3" s="9" t="s">
        <v>991</v>
      </c>
      <c r="P3" s="9" t="s">
        <v>992</v>
      </c>
      <c r="Q3" s="9" t="s">
        <v>993</v>
      </c>
      <c r="R3" s="9" t="s">
        <v>994</v>
      </c>
      <c r="S3" s="9" t="s">
        <v>995</v>
      </c>
      <c r="T3" s="9" t="s">
        <v>996</v>
      </c>
      <c r="U3" s="9" t="s">
        <v>997</v>
      </c>
      <c r="V3" s="9"/>
      <c r="W3" s="9"/>
      <c r="X3" s="9"/>
      <c r="Y3" s="9" t="s">
        <v>998</v>
      </c>
      <c r="Z3" s="9" t="s">
        <v>999</v>
      </c>
      <c r="AA3" s="9"/>
      <c r="AB3" s="9"/>
      <c r="AC3" s="9" t="s">
        <v>1000</v>
      </c>
      <c r="AD3" s="9"/>
      <c r="AE3" s="9"/>
      <c r="AF3" s="9"/>
      <c r="AG3" s="9" t="s">
        <v>1001</v>
      </c>
      <c r="AH3" s="9" t="s">
        <v>1002</v>
      </c>
    </row>
    <row r="4" ht="82.8" spans="1:34">
      <c r="A4" s="9"/>
      <c r="B4" s="9" t="s">
        <v>1003</v>
      </c>
      <c r="C4" s="9" t="s">
        <v>1004</v>
      </c>
      <c r="D4" s="9"/>
      <c r="E4" s="9"/>
      <c r="F4" s="9"/>
      <c r="G4" s="9"/>
      <c r="H4" s="9"/>
      <c r="I4" s="9"/>
      <c r="J4" s="9"/>
      <c r="K4" s="9"/>
      <c r="L4" s="9"/>
      <c r="M4" s="9"/>
      <c r="N4" s="9" t="s">
        <v>1005</v>
      </c>
      <c r="O4" s="10" t="s">
        <v>1006</v>
      </c>
      <c r="P4" s="9"/>
      <c r="Q4" s="9"/>
      <c r="R4" s="9" t="s">
        <v>1007</v>
      </c>
      <c r="S4" s="9" t="s">
        <v>1008</v>
      </c>
      <c r="T4" s="9" t="s">
        <v>1009</v>
      </c>
      <c r="U4" s="9"/>
      <c r="V4" s="9"/>
      <c r="W4" s="9"/>
      <c r="X4" s="9"/>
      <c r="Y4" s="9"/>
      <c r="Z4" s="9" t="s">
        <v>1010</v>
      </c>
      <c r="AA4" s="9"/>
      <c r="AB4" s="9"/>
      <c r="AC4" s="9" t="s">
        <v>1011</v>
      </c>
      <c r="AD4" s="9"/>
      <c r="AE4" s="9"/>
      <c r="AF4" s="9"/>
      <c r="AG4" s="9"/>
      <c r="AH4" s="10" t="s">
        <v>1012</v>
      </c>
    </row>
    <row r="5" spans="1:34">
      <c r="A5" s="9"/>
      <c r="B5" s="9" t="s">
        <v>1013</v>
      </c>
      <c r="C5" s="9" t="s">
        <v>1014</v>
      </c>
      <c r="D5" s="9"/>
      <c r="E5" s="9"/>
      <c r="F5" s="9"/>
      <c r="G5" s="9"/>
      <c r="H5" s="9"/>
      <c r="I5" s="9"/>
      <c r="J5" s="9"/>
      <c r="K5" s="9"/>
      <c r="L5" s="9"/>
      <c r="M5" s="9"/>
      <c r="N5" s="9" t="s">
        <v>1015</v>
      </c>
      <c r="O5" s="9" t="s">
        <v>1016</v>
      </c>
      <c r="P5" s="9"/>
      <c r="Q5" s="9"/>
      <c r="R5" s="9" t="s">
        <v>1017</v>
      </c>
      <c r="S5" s="9" t="s">
        <v>1018</v>
      </c>
      <c r="T5" s="9" t="s">
        <v>1019</v>
      </c>
      <c r="U5" s="9"/>
      <c r="V5" s="9"/>
      <c r="W5" s="9"/>
      <c r="X5" s="9"/>
      <c r="Y5" s="9"/>
      <c r="Z5" s="9" t="s">
        <v>1020</v>
      </c>
      <c r="AA5" s="9"/>
      <c r="AB5" s="9"/>
      <c r="AC5" s="9"/>
      <c r="AD5" s="9"/>
      <c r="AE5" s="9"/>
      <c r="AF5" s="9"/>
      <c r="AG5" s="9"/>
      <c r="AH5" s="9" t="s">
        <v>1021</v>
      </c>
    </row>
    <row r="6" spans="1:34">
      <c r="A6" s="9"/>
      <c r="B6" s="9" t="s">
        <v>1022</v>
      </c>
      <c r="C6" s="9" t="s">
        <v>1023</v>
      </c>
      <c r="D6" s="9"/>
      <c r="E6" s="9"/>
      <c r="F6" s="9"/>
      <c r="G6" s="9"/>
      <c r="H6" s="9"/>
      <c r="I6" s="9"/>
      <c r="J6" s="9"/>
      <c r="K6" s="9"/>
      <c r="L6" s="9"/>
      <c r="M6" s="9"/>
      <c r="N6" s="9"/>
      <c r="O6" s="9"/>
      <c r="P6" s="9"/>
      <c r="Q6" s="9"/>
      <c r="R6" s="9" t="s">
        <v>1024</v>
      </c>
      <c r="S6" s="9" t="s">
        <v>1025</v>
      </c>
      <c r="T6" s="9"/>
      <c r="U6" s="9"/>
      <c r="V6" s="9"/>
      <c r="W6" s="9"/>
      <c r="X6" s="9"/>
      <c r="Y6" s="9"/>
      <c r="Z6" s="9" t="s">
        <v>1026</v>
      </c>
      <c r="AA6" s="9"/>
      <c r="AB6" s="9"/>
      <c r="AC6" s="9"/>
      <c r="AD6" s="9"/>
      <c r="AE6" s="9"/>
      <c r="AF6" s="9"/>
      <c r="AG6" s="9"/>
      <c r="AH6" s="9" t="s">
        <v>1027</v>
      </c>
    </row>
    <row r="7" spans="1:34">
      <c r="A7" s="9"/>
      <c r="B7" s="9" t="s">
        <v>1028</v>
      </c>
      <c r="C7" s="10" t="s">
        <v>1029</v>
      </c>
      <c r="D7" s="9"/>
      <c r="E7" s="9"/>
      <c r="F7" s="9"/>
      <c r="G7" s="9"/>
      <c r="H7" s="9"/>
      <c r="I7" s="9"/>
      <c r="J7" s="9"/>
      <c r="K7" s="9"/>
      <c r="L7" s="9"/>
      <c r="M7" s="9"/>
      <c r="N7" s="9"/>
      <c r="O7" s="9"/>
      <c r="P7" s="9"/>
      <c r="Q7" s="9"/>
      <c r="R7" s="9" t="s">
        <v>1030</v>
      </c>
      <c r="S7" s="9"/>
      <c r="T7" s="9"/>
      <c r="U7" s="9"/>
      <c r="V7" s="9"/>
      <c r="W7" s="9"/>
      <c r="X7" s="9"/>
      <c r="Y7" s="9"/>
      <c r="Z7" s="9"/>
      <c r="AA7" s="9"/>
      <c r="AB7" s="10"/>
      <c r="AC7" s="9"/>
      <c r="AD7" s="9"/>
      <c r="AE7" s="9"/>
      <c r="AF7" s="9"/>
      <c r="AG7" s="9"/>
      <c r="AH7" s="9" t="s">
        <v>1031</v>
      </c>
    </row>
    <row r="8" spans="1:34">
      <c r="A8" s="9"/>
      <c r="B8" s="9" t="s">
        <v>1032</v>
      </c>
      <c r="C8" s="9"/>
      <c r="D8" s="9"/>
      <c r="E8" s="9"/>
      <c r="F8" s="9"/>
      <c r="G8" s="9"/>
      <c r="H8" s="9"/>
      <c r="I8" s="9"/>
      <c r="J8" s="9"/>
      <c r="K8" s="9"/>
      <c r="L8" s="9"/>
      <c r="M8" s="9"/>
      <c r="N8" s="9"/>
      <c r="O8" s="9"/>
      <c r="P8" s="9"/>
      <c r="Q8" s="9"/>
      <c r="R8" s="9" t="s">
        <v>1033</v>
      </c>
      <c r="S8" s="9"/>
      <c r="T8" s="9"/>
      <c r="U8" s="9"/>
      <c r="V8" s="9"/>
      <c r="W8" s="9"/>
      <c r="X8" s="9"/>
      <c r="Y8" s="9"/>
      <c r="Z8" s="9"/>
      <c r="AA8" s="9"/>
      <c r="AB8" s="9"/>
      <c r="AC8" s="9"/>
      <c r="AD8" s="9"/>
      <c r="AE8" s="9"/>
      <c r="AF8" s="9"/>
      <c r="AG8" s="9"/>
      <c r="AH8" s="9"/>
    </row>
    <row r="9" spans="1:34">
      <c r="A9" s="9"/>
      <c r="B9" s="9" t="s">
        <v>1034</v>
      </c>
      <c r="C9" s="9"/>
      <c r="D9" s="9"/>
      <c r="E9" s="9"/>
      <c r="F9" s="9"/>
      <c r="G9" s="9"/>
      <c r="H9" s="9"/>
      <c r="I9" s="9"/>
      <c r="J9" s="9"/>
      <c r="K9" s="9"/>
      <c r="L9" s="9"/>
      <c r="M9" s="9"/>
      <c r="N9" s="9"/>
      <c r="O9" s="9"/>
      <c r="P9" s="9"/>
      <c r="Q9" s="9"/>
      <c r="R9" s="9" t="s">
        <v>1035</v>
      </c>
      <c r="S9" s="9"/>
      <c r="T9" s="9"/>
      <c r="U9" s="9"/>
      <c r="V9" s="9"/>
      <c r="W9" s="9"/>
      <c r="X9" s="9"/>
      <c r="Y9" s="9"/>
      <c r="Z9" s="9"/>
      <c r="AA9" s="9"/>
      <c r="AB9" s="9"/>
      <c r="AC9" s="9"/>
      <c r="AD9" s="9"/>
      <c r="AE9" s="9"/>
      <c r="AF9" s="9"/>
      <c r="AG9" s="9"/>
      <c r="AH9" s="9"/>
    </row>
    <row r="10" spans="1:34">
      <c r="A10" s="9"/>
      <c r="B10" s="9" t="s">
        <v>1036</v>
      </c>
      <c r="C10" s="9"/>
      <c r="D10" s="9"/>
      <c r="E10" s="9"/>
      <c r="F10" s="9"/>
      <c r="G10" s="9"/>
      <c r="H10" s="9"/>
      <c r="I10" s="9"/>
      <c r="J10" s="9"/>
      <c r="K10" s="9"/>
      <c r="L10" s="9"/>
      <c r="M10" s="9"/>
      <c r="N10" s="9"/>
      <c r="O10" s="9"/>
      <c r="P10" s="9"/>
      <c r="Q10" s="9"/>
      <c r="R10" s="9" t="s">
        <v>1037</v>
      </c>
      <c r="S10" s="9"/>
      <c r="T10" s="9"/>
      <c r="U10" s="9"/>
      <c r="V10" s="9"/>
      <c r="W10" s="9"/>
      <c r="X10" s="9"/>
      <c r="Y10" s="9"/>
      <c r="Z10" s="9"/>
      <c r="AA10" s="9"/>
      <c r="AB10" s="9"/>
      <c r="AC10" s="9"/>
      <c r="AD10" s="9"/>
      <c r="AE10" s="9"/>
      <c r="AF10" s="9"/>
      <c r="AG10" s="9"/>
      <c r="AH10" s="9"/>
    </row>
    <row r="11" spans="1:34">
      <c r="A11" s="9"/>
      <c r="B11" s="9"/>
      <c r="C11" s="9"/>
      <c r="D11" s="9"/>
      <c r="E11" s="9"/>
      <c r="F11" s="9"/>
      <c r="G11" s="9"/>
      <c r="H11" s="9"/>
      <c r="I11" s="9"/>
      <c r="J11" s="9"/>
      <c r="K11" s="9"/>
      <c r="L11" s="9"/>
      <c r="M11" s="9"/>
      <c r="N11" s="9"/>
      <c r="O11" s="9"/>
      <c r="P11" s="9"/>
      <c r="Q11" s="9"/>
      <c r="R11" s="9" t="s">
        <v>1038</v>
      </c>
      <c r="S11" s="9"/>
      <c r="T11" s="9"/>
      <c r="U11" s="9"/>
      <c r="V11" s="9"/>
      <c r="W11" s="9"/>
      <c r="X11" s="9"/>
      <c r="Y11" s="9"/>
      <c r="Z11" s="9"/>
      <c r="AA11" s="9"/>
      <c r="AB11" s="9"/>
      <c r="AC11" s="9"/>
      <c r="AD11" s="9"/>
      <c r="AE11" s="9"/>
      <c r="AF11" s="9"/>
      <c r="AG11" s="9"/>
      <c r="AH11" s="9"/>
    </row>
  </sheetData>
  <pageMargins left="0.699305555555556" right="0.699305555555556" top="0.75" bottom="0.75" header="0.3" footer="0.3"/>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F89"/>
  <sheetViews>
    <sheetView workbookViewId="0">
      <selection activeCell="A1" sqref="A1:AN100"/>
    </sheetView>
  </sheetViews>
  <sheetFormatPr defaultColWidth="9" defaultRowHeight="13.8" outlineLevelCol="5"/>
  <cols>
    <col min="1" max="1" width="32" style="4" customWidth="1"/>
    <col min="2" max="2" width="33.6666666666667" style="5" customWidth="1"/>
    <col min="3" max="3" width="20.4444444444444" style="4" customWidth="1"/>
    <col min="4" max="4" width="20.4444444444444" style="5" customWidth="1"/>
    <col min="5" max="5" width="42.8888888888889" style="4" customWidth="1"/>
    <col min="6" max="6" width="30" style="5" customWidth="1"/>
    <col min="7" max="8" width="26.1111111111111" style="4" customWidth="1"/>
    <col min="9" max="10" width="9" style="4"/>
    <col min="11" max="11" width="13.6666666666667" style="4" customWidth="1"/>
    <col min="12" max="12" width="25.8888888888889" style="4" customWidth="1"/>
    <col min="13" max="13" width="9" style="4"/>
    <col min="14" max="14" width="29.6666666666667" style="4" customWidth="1"/>
    <col min="15" max="18" width="9" style="4"/>
    <col min="19" max="19" width="15.3333333333333" style="4" customWidth="1"/>
    <col min="20" max="20" width="9" style="4"/>
    <col min="21" max="21" width="29.2222222222222" style="4" customWidth="1"/>
    <col min="22" max="22" width="9" style="4"/>
    <col min="23" max="23" width="23.6666666666667" style="4" customWidth="1"/>
    <col min="24" max="26" width="9" style="4"/>
    <col min="27" max="27" width="21.1111111111111" style="4" customWidth="1"/>
    <col min="28" max="28" width="22.2222222222222" style="4" customWidth="1"/>
    <col min="29" max="29" width="16.1111111111111" style="4" customWidth="1"/>
    <col min="30" max="30" width="9" style="4"/>
    <col min="31" max="31" width="24.4444444444444" style="4" customWidth="1"/>
    <col min="32" max="32" width="9" style="4"/>
    <col min="33" max="33" width="22.8888888888889" style="4" customWidth="1"/>
    <col min="34" max="34" width="9" style="4"/>
    <col min="35" max="35" width="48.3333333333333" style="4" customWidth="1"/>
    <col min="36" max="36" width="21.4444444444444" style="4" customWidth="1"/>
    <col min="37" max="37" width="29.3333333333333" style="4" customWidth="1"/>
    <col min="38" max="38" width="9" style="4"/>
    <col min="39" max="39" width="37.2222222222222" style="4" customWidth="1"/>
    <col min="40" max="40" width="9" style="4"/>
    <col min="41" max="41" width="15.6666666666667" style="4" customWidth="1"/>
    <col min="42" max="42" width="22.2222222222222" style="4" customWidth="1"/>
    <col min="43" max="43" width="21.2222222222222" style="4" customWidth="1"/>
    <col min="44" max="44" width="23.7777777777778" style="4" customWidth="1"/>
    <col min="45" max="45" width="18.4444444444444" style="4" customWidth="1"/>
    <col min="46" max="50" width="9" style="4"/>
    <col min="51" max="51" width="48.7777777777778" style="4" customWidth="1"/>
    <col min="52" max="52" width="28.4444444444444" style="4" customWidth="1"/>
    <col min="53" max="53" width="21.6666666666667" style="4" customWidth="1"/>
    <col min="54" max="54" width="9" style="4"/>
    <col min="55" max="55" width="31.8888888888889" style="4" customWidth="1"/>
    <col min="56" max="56" width="9" style="4"/>
    <col min="57" max="57" width="20.6666666666667" style="4" customWidth="1"/>
    <col min="58" max="58" width="21.2222222222222" style="4" customWidth="1"/>
    <col min="59" max="59" width="22.1111111111111" style="4" customWidth="1"/>
    <col min="60" max="60" width="9" style="4"/>
    <col min="61" max="61" width="16.7777777777778" style="4" customWidth="1"/>
    <col min="62" max="62" width="9" style="4"/>
    <col min="63" max="63" width="25.4444444444444" style="4" customWidth="1"/>
    <col min="64" max="64" width="25.2222222222222" style="4" customWidth="1"/>
    <col min="65" max="65" width="24.3333333333333" style="4" customWidth="1"/>
    <col min="66" max="66" width="9" style="4"/>
    <col min="67" max="67" width="29.7777777777778" style="4" customWidth="1"/>
    <col min="68" max="68" width="25" style="4" customWidth="1"/>
    <col min="69" max="16384" width="9" style="4"/>
  </cols>
  <sheetData>
    <row r="1" spans="1:2">
      <c r="A1" s="4" t="s">
        <v>951</v>
      </c>
      <c r="B1" s="6" t="s">
        <v>465</v>
      </c>
    </row>
    <row r="2" spans="1:4">
      <c r="A2" s="4" t="s">
        <v>952</v>
      </c>
      <c r="B2" s="6" t="s">
        <v>1039</v>
      </c>
      <c r="D2" s="4"/>
    </row>
    <row r="3" spans="1:6">
      <c r="A3" s="4" t="s">
        <v>104</v>
      </c>
      <c r="B3" s="6" t="s">
        <v>1040</v>
      </c>
      <c r="D3" s="4"/>
      <c r="F3" s="4"/>
    </row>
    <row r="4" spans="1:6">
      <c r="A4" s="4" t="s">
        <v>1003</v>
      </c>
      <c r="B4" s="6" t="s">
        <v>1039</v>
      </c>
      <c r="D4" s="4"/>
      <c r="F4" s="4"/>
    </row>
    <row r="5" spans="1:6">
      <c r="A5" s="4" t="s">
        <v>1013</v>
      </c>
      <c r="B5" s="6" t="s">
        <v>1039</v>
      </c>
      <c r="D5" s="4"/>
      <c r="F5" s="4"/>
    </row>
    <row r="6" spans="1:6">
      <c r="A6" s="4" t="s">
        <v>1022</v>
      </c>
      <c r="B6" s="6" t="s">
        <v>1041</v>
      </c>
      <c r="D6" s="4"/>
      <c r="F6" s="4"/>
    </row>
    <row r="7" ht="41.4" spans="1:6">
      <c r="A7" s="4" t="s">
        <v>1028</v>
      </c>
      <c r="B7" s="7" t="s">
        <v>1042</v>
      </c>
      <c r="D7" s="4"/>
      <c r="F7" s="4"/>
    </row>
    <row r="8" spans="1:6">
      <c r="A8" s="4" t="s">
        <v>1032</v>
      </c>
      <c r="B8" s="6" t="s">
        <v>1043</v>
      </c>
      <c r="D8" s="4"/>
      <c r="F8" s="4"/>
    </row>
    <row r="9" ht="27.6" spans="1:6">
      <c r="A9" s="4" t="s">
        <v>1034</v>
      </c>
      <c r="B9" s="7" t="s">
        <v>1044</v>
      </c>
      <c r="D9" s="4"/>
      <c r="F9" s="4"/>
    </row>
    <row r="10" spans="1:6">
      <c r="A10" s="4" t="s">
        <v>1036</v>
      </c>
      <c r="B10" s="6" t="s">
        <v>465</v>
      </c>
      <c r="D10" s="4"/>
      <c r="F10" s="4"/>
    </row>
    <row r="11" spans="1:2">
      <c r="A11" s="4" t="s">
        <v>953</v>
      </c>
      <c r="B11" s="6" t="s">
        <v>1045</v>
      </c>
    </row>
    <row r="12" spans="1:2">
      <c r="A12" s="4" t="s">
        <v>985</v>
      </c>
      <c r="B12" s="6" t="s">
        <v>1039</v>
      </c>
    </row>
    <row r="13" spans="1:2">
      <c r="A13" s="4" t="s">
        <v>1004</v>
      </c>
      <c r="B13" s="6" t="s">
        <v>1043</v>
      </c>
    </row>
    <row r="14" spans="1:2">
      <c r="A14" s="4" t="s">
        <v>1014</v>
      </c>
      <c r="B14" s="6" t="s">
        <v>1046</v>
      </c>
    </row>
    <row r="15" spans="1:2">
      <c r="A15" s="4" t="s">
        <v>1023</v>
      </c>
      <c r="B15" s="6" t="s">
        <v>1047</v>
      </c>
    </row>
    <row r="16" ht="27.6" spans="1:2">
      <c r="A16" s="8" t="s">
        <v>1029</v>
      </c>
      <c r="B16" s="6" t="s">
        <v>1045</v>
      </c>
    </row>
    <row r="17" spans="1:2">
      <c r="A17" s="4" t="s">
        <v>954</v>
      </c>
      <c r="B17" s="6" t="s">
        <v>1039</v>
      </c>
    </row>
    <row r="18" spans="1:2">
      <c r="A18" s="4" t="s">
        <v>986</v>
      </c>
      <c r="B18" s="6" t="s">
        <v>1039</v>
      </c>
    </row>
    <row r="19" spans="1:2">
      <c r="A19" s="4" t="s">
        <v>955</v>
      </c>
      <c r="B19" s="6" t="s">
        <v>1039</v>
      </c>
    </row>
    <row r="20" spans="1:2">
      <c r="A20" s="4" t="s">
        <v>956</v>
      </c>
      <c r="B20" s="6" t="s">
        <v>1048</v>
      </c>
    </row>
    <row r="21" spans="1:2">
      <c r="A21" s="4" t="s">
        <v>957</v>
      </c>
      <c r="B21" s="6" t="s">
        <v>1049</v>
      </c>
    </row>
    <row r="22" spans="1:2">
      <c r="A22" s="4" t="s">
        <v>958</v>
      </c>
      <c r="B22" s="6" t="s">
        <v>1039</v>
      </c>
    </row>
    <row r="23" spans="1:2">
      <c r="A23" s="4" t="s">
        <v>987</v>
      </c>
      <c r="B23" s="6" t="s">
        <v>1050</v>
      </c>
    </row>
    <row r="24" spans="1:2">
      <c r="A24" s="4" t="s">
        <v>959</v>
      </c>
      <c r="B24" s="6" t="s">
        <v>1039</v>
      </c>
    </row>
    <row r="25" spans="1:2">
      <c r="A25" s="4" t="s">
        <v>988</v>
      </c>
      <c r="B25" s="6" t="s">
        <v>1039</v>
      </c>
    </row>
    <row r="26" spans="1:2">
      <c r="A26" s="4" t="s">
        <v>960</v>
      </c>
      <c r="B26" s="6" t="s">
        <v>1039</v>
      </c>
    </row>
    <row r="27" spans="1:2">
      <c r="A27" s="4" t="s">
        <v>961</v>
      </c>
      <c r="B27" s="6" t="s">
        <v>465</v>
      </c>
    </row>
    <row r="28" spans="1:2">
      <c r="A28" s="4" t="s">
        <v>962</v>
      </c>
      <c r="B28" s="6" t="s">
        <v>1046</v>
      </c>
    </row>
    <row r="29" spans="1:2">
      <c r="A29" s="4" t="s">
        <v>963</v>
      </c>
      <c r="B29" s="6" t="s">
        <v>1046</v>
      </c>
    </row>
    <row r="30" spans="1:2">
      <c r="A30" s="4" t="s">
        <v>989</v>
      </c>
      <c r="B30" s="6" t="s">
        <v>1051</v>
      </c>
    </row>
    <row r="31" ht="96.6" spans="1:2">
      <c r="A31" s="8" t="s">
        <v>964</v>
      </c>
      <c r="B31" s="6" t="s">
        <v>1047</v>
      </c>
    </row>
    <row r="32" spans="1:2">
      <c r="A32" s="4" t="s">
        <v>990</v>
      </c>
      <c r="B32" s="6" t="s">
        <v>1039</v>
      </c>
    </row>
    <row r="33" spans="1:2">
      <c r="A33" s="4" t="s">
        <v>1005</v>
      </c>
      <c r="B33" s="6" t="s">
        <v>465</v>
      </c>
    </row>
    <row r="34" spans="1:2">
      <c r="A34" s="4" t="s">
        <v>1015</v>
      </c>
      <c r="B34" s="6" t="s">
        <v>1047</v>
      </c>
    </row>
    <row r="35" ht="27.6" spans="1:2">
      <c r="A35" s="8" t="s">
        <v>965</v>
      </c>
      <c r="B35" s="6" t="s">
        <v>465</v>
      </c>
    </row>
    <row r="36" spans="1:2">
      <c r="A36" s="4" t="s">
        <v>991</v>
      </c>
      <c r="B36" s="6" t="s">
        <v>1046</v>
      </c>
    </row>
    <row r="37" spans="1:2">
      <c r="A37" s="8" t="s">
        <v>1006</v>
      </c>
      <c r="B37" s="6" t="s">
        <v>1039</v>
      </c>
    </row>
    <row r="38" spans="1:2">
      <c r="A38" s="4" t="s">
        <v>1016</v>
      </c>
      <c r="B38" s="6" t="s">
        <v>1046</v>
      </c>
    </row>
    <row r="39" spans="1:2">
      <c r="A39" s="4" t="s">
        <v>966</v>
      </c>
      <c r="B39" s="6" t="s">
        <v>1052</v>
      </c>
    </row>
    <row r="40" spans="1:2">
      <c r="A40" s="4" t="s">
        <v>992</v>
      </c>
      <c r="B40" s="6" t="s">
        <v>465</v>
      </c>
    </row>
    <row r="41" ht="41.4" spans="1:2">
      <c r="A41" s="8" t="s">
        <v>967</v>
      </c>
      <c r="B41" s="6" t="s">
        <v>1039</v>
      </c>
    </row>
    <row r="42" spans="1:2">
      <c r="A42" s="4" t="s">
        <v>993</v>
      </c>
      <c r="B42" s="6" t="s">
        <v>1039</v>
      </c>
    </row>
    <row r="43" spans="1:2">
      <c r="A43" s="4" t="s">
        <v>968</v>
      </c>
      <c r="B43" s="6" t="s">
        <v>465</v>
      </c>
    </row>
    <row r="44" spans="1:2">
      <c r="A44" s="4" t="s">
        <v>994</v>
      </c>
      <c r="B44" s="6" t="s">
        <v>1046</v>
      </c>
    </row>
    <row r="45" spans="1:2">
      <c r="A45" s="4" t="s">
        <v>1007</v>
      </c>
      <c r="B45" s="6" t="s">
        <v>1046</v>
      </c>
    </row>
    <row r="46" spans="1:2">
      <c r="A46" s="4" t="s">
        <v>1017</v>
      </c>
      <c r="B46" s="6" t="s">
        <v>1046</v>
      </c>
    </row>
    <row r="47" ht="41.4" spans="1:2">
      <c r="A47" s="4" t="s">
        <v>1024</v>
      </c>
      <c r="B47" s="7" t="s">
        <v>1053</v>
      </c>
    </row>
    <row r="48" spans="1:2">
      <c r="A48" s="4" t="s">
        <v>1030</v>
      </c>
      <c r="B48" s="6" t="s">
        <v>1046</v>
      </c>
    </row>
    <row r="49" spans="1:2">
      <c r="A49" s="4" t="s">
        <v>1033</v>
      </c>
      <c r="B49" s="6" t="s">
        <v>1039</v>
      </c>
    </row>
    <row r="50" spans="1:2">
      <c r="A50" s="4" t="s">
        <v>1035</v>
      </c>
      <c r="B50" s="6" t="s">
        <v>1039</v>
      </c>
    </row>
    <row r="51" spans="1:2">
      <c r="A51" s="4" t="s">
        <v>1037</v>
      </c>
      <c r="B51" s="6" t="s">
        <v>1039</v>
      </c>
    </row>
    <row r="52" spans="1:2">
      <c r="A52" s="4" t="s">
        <v>1038</v>
      </c>
      <c r="B52" s="6" t="s">
        <v>1046</v>
      </c>
    </row>
    <row r="53" spans="1:2">
      <c r="A53" s="5" t="s">
        <v>969</v>
      </c>
      <c r="B53" s="6" t="s">
        <v>465</v>
      </c>
    </row>
    <row r="54" spans="1:2">
      <c r="A54" s="4" t="s">
        <v>995</v>
      </c>
      <c r="B54" s="6" t="s">
        <v>465</v>
      </c>
    </row>
    <row r="55" spans="1:2">
      <c r="A55" s="4" t="s">
        <v>1008</v>
      </c>
      <c r="B55" s="6" t="s">
        <v>1039</v>
      </c>
    </row>
    <row r="56" spans="1:2">
      <c r="A56" s="4" t="s">
        <v>1018</v>
      </c>
      <c r="B56" s="6" t="s">
        <v>1039</v>
      </c>
    </row>
    <row r="57" spans="1:2">
      <c r="A57" s="4" t="s">
        <v>1025</v>
      </c>
      <c r="B57" s="6" t="s">
        <v>465</v>
      </c>
    </row>
    <row r="58" spans="1:2">
      <c r="A58" s="5" t="s">
        <v>970</v>
      </c>
      <c r="B58" s="6" t="s">
        <v>465</v>
      </c>
    </row>
    <row r="59" spans="1:2">
      <c r="A59" s="4" t="s">
        <v>996</v>
      </c>
      <c r="B59" s="6" t="s">
        <v>465</v>
      </c>
    </row>
    <row r="60" spans="1:2">
      <c r="A60" s="4" t="s">
        <v>1009</v>
      </c>
      <c r="B60" s="6" t="s">
        <v>1039</v>
      </c>
    </row>
    <row r="61" spans="1:2">
      <c r="A61" s="4" t="s">
        <v>1019</v>
      </c>
      <c r="B61" s="6" t="s">
        <v>1046</v>
      </c>
    </row>
    <row r="62" spans="1:2">
      <c r="A62" s="5" t="s">
        <v>971</v>
      </c>
      <c r="B62" s="6" t="s">
        <v>1054</v>
      </c>
    </row>
    <row r="63" spans="1:2">
      <c r="A63" s="4" t="s">
        <v>997</v>
      </c>
      <c r="B63" s="6" t="s">
        <v>1039</v>
      </c>
    </row>
    <row r="64" spans="1:2">
      <c r="A64" s="5" t="s">
        <v>972</v>
      </c>
      <c r="B64" s="6" t="s">
        <v>1055</v>
      </c>
    </row>
    <row r="65" spans="1:2">
      <c r="A65" s="5" t="s">
        <v>973</v>
      </c>
      <c r="B65" s="6" t="s">
        <v>1055</v>
      </c>
    </row>
    <row r="66" spans="1:2">
      <c r="A66" s="5" t="s">
        <v>974</v>
      </c>
      <c r="B66" s="6" t="s">
        <v>1039</v>
      </c>
    </row>
    <row r="67" spans="1:2">
      <c r="A67" s="5" t="s">
        <v>975</v>
      </c>
      <c r="B67" s="6" t="s">
        <v>1055</v>
      </c>
    </row>
    <row r="68" spans="1:2">
      <c r="A68" s="4" t="s">
        <v>998</v>
      </c>
      <c r="B68" s="6" t="s">
        <v>1056</v>
      </c>
    </row>
    <row r="69" spans="1:2">
      <c r="A69" s="5" t="s">
        <v>976</v>
      </c>
      <c r="B69" s="6" t="s">
        <v>1057</v>
      </c>
    </row>
    <row r="70" spans="1:2">
      <c r="A70" s="4" t="s">
        <v>999</v>
      </c>
      <c r="B70" s="6" t="s">
        <v>1058</v>
      </c>
    </row>
    <row r="71" spans="1:2">
      <c r="A71" s="4" t="s">
        <v>1010</v>
      </c>
      <c r="B71" s="6" t="s">
        <v>1058</v>
      </c>
    </row>
    <row r="72" spans="1:2">
      <c r="A72" s="4" t="s">
        <v>1020</v>
      </c>
      <c r="B72" s="6" t="s">
        <v>465</v>
      </c>
    </row>
    <row r="73" ht="27.6" spans="1:2">
      <c r="A73" s="4" t="s">
        <v>1026</v>
      </c>
      <c r="B73" s="7" t="s">
        <v>1059</v>
      </c>
    </row>
    <row r="74" spans="1:2">
      <c r="A74" s="5" t="s">
        <v>977</v>
      </c>
      <c r="B74" s="7" t="s">
        <v>1055</v>
      </c>
    </row>
    <row r="75" spans="1:2">
      <c r="A75" s="5" t="s">
        <v>978</v>
      </c>
      <c r="B75" s="6" t="s">
        <v>1039</v>
      </c>
    </row>
    <row r="76" spans="1:2">
      <c r="A76" s="5" t="s">
        <v>979</v>
      </c>
      <c r="B76" s="6" t="s">
        <v>1060</v>
      </c>
    </row>
    <row r="77" spans="1:2">
      <c r="A77" s="4" t="s">
        <v>1000</v>
      </c>
      <c r="B77" s="6" t="s">
        <v>1061</v>
      </c>
    </row>
    <row r="78" spans="1:2">
      <c r="A78" s="4" t="s">
        <v>1011</v>
      </c>
      <c r="B78" s="6" t="s">
        <v>1062</v>
      </c>
    </row>
    <row r="79" spans="1:2">
      <c r="A79" s="5" t="s">
        <v>980</v>
      </c>
      <c r="B79" s="6" t="s">
        <v>1063</v>
      </c>
    </row>
    <row r="80" spans="1:2">
      <c r="A80" s="5" t="s">
        <v>981</v>
      </c>
      <c r="B80" s="6" t="s">
        <v>1046</v>
      </c>
    </row>
    <row r="81" spans="1:2">
      <c r="A81" s="4" t="s">
        <v>982</v>
      </c>
      <c r="B81" s="6" t="s">
        <v>1064</v>
      </c>
    </row>
    <row r="82" ht="55.2" spans="1:2">
      <c r="A82" s="8" t="s">
        <v>983</v>
      </c>
      <c r="B82" s="7" t="s">
        <v>1065</v>
      </c>
    </row>
    <row r="83" spans="1:2">
      <c r="A83" s="4" t="s">
        <v>1001</v>
      </c>
      <c r="B83" s="6" t="s">
        <v>1039</v>
      </c>
    </row>
    <row r="84" ht="41.4" spans="1:2">
      <c r="A84" s="8" t="s">
        <v>984</v>
      </c>
      <c r="B84" s="7" t="s">
        <v>1066</v>
      </c>
    </row>
    <row r="85" spans="1:2">
      <c r="A85" s="4" t="s">
        <v>1002</v>
      </c>
      <c r="B85" s="6" t="s">
        <v>465</v>
      </c>
    </row>
    <row r="86" ht="27.6" spans="1:2">
      <c r="A86" s="8" t="s">
        <v>1012</v>
      </c>
      <c r="B86" s="6" t="s">
        <v>1039</v>
      </c>
    </row>
    <row r="87" spans="1:2">
      <c r="A87" s="4" t="s">
        <v>1021</v>
      </c>
      <c r="B87" s="6" t="s">
        <v>1067</v>
      </c>
    </row>
    <row r="88" ht="27.6" spans="1:2">
      <c r="A88" s="4" t="s">
        <v>1027</v>
      </c>
      <c r="B88" s="7" t="s">
        <v>1068</v>
      </c>
    </row>
    <row r="89" ht="27.6" spans="1:2">
      <c r="A89" s="4" t="s">
        <v>1031</v>
      </c>
      <c r="B89" s="7" t="s">
        <v>1069</v>
      </c>
    </row>
  </sheetData>
  <pageMargins left="0.699305555555556" right="0.699305555555556" top="0.75" bottom="0.75" header="0.3" footer="0.3"/>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4"/>
  <dimension ref="A1:D4"/>
  <sheetViews>
    <sheetView workbookViewId="0">
      <selection activeCell="A1" sqref="A1:AN100"/>
    </sheetView>
  </sheetViews>
  <sheetFormatPr defaultColWidth="9" defaultRowHeight="13.8" outlineLevelRow="3" outlineLevelCol="3"/>
  <cols>
    <col min="1" max="1" width="31.7777777777778" customWidth="1"/>
    <col min="2" max="2" width="21.6666666666667" customWidth="1"/>
    <col min="3" max="3" width="17.3333333333333" customWidth="1"/>
    <col min="4" max="4" width="43.7777777777778" customWidth="1"/>
  </cols>
  <sheetData>
    <row r="1" spans="1:4">
      <c r="A1" s="2" t="s">
        <v>14</v>
      </c>
      <c r="B1" s="3" t="s">
        <v>114</v>
      </c>
      <c r="C1" s="3" t="s">
        <v>115</v>
      </c>
      <c r="D1" s="3" t="s">
        <v>116</v>
      </c>
    </row>
    <row r="2" spans="1:4">
      <c r="A2" s="2" t="s">
        <v>15</v>
      </c>
      <c r="B2" s="2" t="s">
        <v>1070</v>
      </c>
      <c r="C2" s="2"/>
      <c r="D2" s="2" t="s">
        <v>1071</v>
      </c>
    </row>
    <row r="3" spans="1:4">
      <c r="A3" s="2" t="s">
        <v>1072</v>
      </c>
      <c r="B3" s="2" t="s">
        <v>1073</v>
      </c>
      <c r="C3" s="2" t="s">
        <v>1074</v>
      </c>
      <c r="D3" s="2" t="s">
        <v>1075</v>
      </c>
    </row>
    <row r="4" spans="1:4">
      <c r="A4" s="2" t="s">
        <v>1076</v>
      </c>
      <c r="B4" s="2" t="s">
        <v>1077</v>
      </c>
      <c r="C4" s="2" t="s">
        <v>1078</v>
      </c>
      <c r="D4" s="2" t="s">
        <v>1079</v>
      </c>
    </row>
  </sheetData>
  <pageMargins left="0.699305555555556" right="0.699305555555556" top="0.75" bottom="0.75" header="0.3" footer="0.3"/>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9"/>
  <dimension ref="A1:E14"/>
  <sheetViews>
    <sheetView workbookViewId="0">
      <selection activeCell="E15" sqref="E15"/>
    </sheetView>
  </sheetViews>
  <sheetFormatPr defaultColWidth="9" defaultRowHeight="13.8" outlineLevelCol="4"/>
  <cols>
    <col min="1" max="1" width="17.4444444444444" customWidth="1"/>
    <col min="4" max="4" width="11" customWidth="1"/>
  </cols>
  <sheetData>
    <row r="1" spans="1:5">
      <c r="A1" t="s">
        <v>1080</v>
      </c>
      <c r="B1">
        <v>1</v>
      </c>
      <c r="D1" t="s">
        <v>1081</v>
      </c>
      <c r="E1">
        <f>COUNT(B:B)</f>
        <v>14</v>
      </c>
    </row>
    <row r="2" spans="1:2">
      <c r="A2" t="s">
        <v>1082</v>
      </c>
      <c r="B2">
        <v>2</v>
      </c>
    </row>
    <row r="3" spans="1:2">
      <c r="A3" t="s">
        <v>1083</v>
      </c>
      <c r="B3">
        <v>3</v>
      </c>
    </row>
    <row r="4" spans="1:2">
      <c r="A4" t="s">
        <v>1084</v>
      </c>
      <c r="B4">
        <v>4</v>
      </c>
    </row>
    <row r="5" spans="1:2">
      <c r="A5" t="s">
        <v>1085</v>
      </c>
      <c r="B5">
        <v>5</v>
      </c>
    </row>
    <row r="6" spans="1:2">
      <c r="A6" t="s">
        <v>1086</v>
      </c>
      <c r="B6">
        <v>6</v>
      </c>
    </row>
    <row r="7" spans="1:2">
      <c r="A7" t="s">
        <v>1087</v>
      </c>
      <c r="B7">
        <v>7</v>
      </c>
    </row>
    <row r="8" spans="1:2">
      <c r="A8" t="s">
        <v>1088</v>
      </c>
      <c r="B8">
        <v>8</v>
      </c>
    </row>
    <row r="9" spans="1:2">
      <c r="A9" t="s">
        <v>1089</v>
      </c>
      <c r="B9">
        <v>9</v>
      </c>
    </row>
    <row r="10" spans="1:2">
      <c r="A10" t="s">
        <v>43</v>
      </c>
      <c r="B10">
        <v>10</v>
      </c>
    </row>
    <row r="11" spans="1:2">
      <c r="A11" t="s">
        <v>1090</v>
      </c>
      <c r="B11">
        <v>11</v>
      </c>
    </row>
    <row r="12" spans="1:2">
      <c r="A12" t="s">
        <v>1091</v>
      </c>
      <c r="B12">
        <v>12</v>
      </c>
    </row>
    <row r="13" spans="1:2">
      <c r="A13" t="s">
        <v>1092</v>
      </c>
      <c r="B13">
        <v>13</v>
      </c>
    </row>
    <row r="14" spans="1:2">
      <c r="A14" s="1" t="s">
        <v>1093</v>
      </c>
      <c r="B14">
        <v>14</v>
      </c>
    </row>
  </sheetData>
  <pageMargins left="0.699305555555556" right="0.699305555555556"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30</vt:i4>
      </vt:variant>
    </vt:vector>
  </HeadingPairs>
  <TitlesOfParts>
    <vt:vector size="30" baseType="lpstr">
      <vt:lpstr>信息</vt:lpstr>
      <vt:lpstr>员工信息</vt:lpstr>
      <vt:lpstr>工程组成</vt:lpstr>
      <vt:lpstr>产品</vt:lpstr>
      <vt:lpstr>材料</vt:lpstr>
      <vt:lpstr>设备</vt:lpstr>
      <vt:lpstr>敏感点信息</vt:lpstr>
      <vt:lpstr>废气排放标准表</vt:lpstr>
      <vt:lpstr>附件</vt:lpstr>
      <vt:lpstr>废气信息</vt:lpstr>
      <vt:lpstr>固废信息</vt:lpstr>
      <vt:lpstr>废气信息库</vt:lpstr>
      <vt:lpstr>固废信息库</vt:lpstr>
      <vt:lpstr>废气排放标准库</vt:lpstr>
      <vt:lpstr>废气排放标准库2</vt:lpstr>
      <vt:lpstr>污水排放</vt:lpstr>
      <vt:lpstr>地表水环境</vt:lpstr>
      <vt:lpstr>地表水区域</vt:lpstr>
      <vt:lpstr>地表水现状结论</vt:lpstr>
      <vt:lpstr>污水厂二级选项辅助表</vt:lpstr>
      <vt:lpstr>地下水环境</vt:lpstr>
      <vt:lpstr>地下水区域</vt:lpstr>
      <vt:lpstr>声环境</vt:lpstr>
      <vt:lpstr>社会情况</vt:lpstr>
      <vt:lpstr>现状数据</vt:lpstr>
      <vt:lpstr>国民库</vt:lpstr>
      <vt:lpstr>评价名录</vt:lpstr>
      <vt:lpstr>评价名录附</vt:lpstr>
      <vt:lpstr>环评单位信息库</vt:lpstr>
      <vt:lpstr>工艺流程表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asus1</cp:lastModifiedBy>
  <dcterms:created xsi:type="dcterms:W3CDTF">2015-06-05T18:19:00Z</dcterms:created>
  <dcterms:modified xsi:type="dcterms:W3CDTF">2018-02-11T14:27:55Z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2052-10.1.0.7022</vt:lpwstr>
  </property>
</Properties>
</file>